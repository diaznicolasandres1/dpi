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46d2abca95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997e6c15d82646e9"/>
    <x:sheet xmlns:r="http://schemas.openxmlformats.org/officeDocument/2006/relationships" name="Tareas" sheetId="2" r:id="R09407778a2224b3c"/>
    <x:sheet xmlns:r="http://schemas.openxmlformats.org/officeDocument/2006/relationships" name="Mano de obra" sheetId="3" r:id="R407a391543594b04"/>
    <x:sheet xmlns:r="http://schemas.openxmlformats.org/officeDocument/2006/relationships" name="Partidas" sheetId="4" r:id="R782da061e92c4330"/>
    <x:sheet xmlns:r="http://schemas.openxmlformats.org/officeDocument/2006/relationships" name="Línea base" sheetId="5" r:id="R2a23a7c79eab4b8d"/>
    <x:sheet xmlns:r="http://schemas.openxmlformats.org/officeDocument/2006/relationships" name="EVM" sheetId="6" r:id="Redb7589521d14b40"/>
    <x:sheet xmlns:r="http://schemas.openxmlformats.org/officeDocument/2006/relationships" name="Calidad" sheetId="7" r:id="R4ca8a64a8bf64c00"/>
    <x:sheet xmlns:r="http://schemas.openxmlformats.org/officeDocument/2006/relationships" name="Riesgos" sheetId="8" r:id="Rb97931d6d221418f"/>
    <x:sheet xmlns:r="http://schemas.openxmlformats.org/officeDocument/2006/relationships" name="Matriz" sheetId="9" r:id="R348682697dbb427a"/>
    <x:sheet xmlns:r="http://schemas.openxmlformats.org/officeDocument/2006/relationships" name="Contingencia" sheetId="10" r:id="Rdcb9b57a3fc04143"/>
    <x:sheet xmlns:r="http://schemas.openxmlformats.org/officeDocument/2006/relationships" name="Supuestos" sheetId="11" r:id="Rdcd8b6f883f742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;(#,##0);&quot;-&quot;"/>
    <x:numFmt numFmtId="201" formatCode="0.0%"/>
    <x:numFmt numFmtId="202" formatCode="0.0"/>
    <x:numFmt numFmtId="203" formatCode="0.000"/>
    <x:numFmt numFmtId="204" formatCode="dd/mm/yyyy"/>
    <x:numFmt numFmtId="205" formatCode="mmm-yy"/>
    <x:numFmt numFmtId="206" formatCode="0.0000"/>
    <x:numFmt numFmtId="207" formatCode="0.00;(0.00);0.00"/>
  </x:numFmts>
  <x:fonts count="7">
    <x:font>
      <x:sz val="11"/>
      <x:name val="Carlito"/>
    </x:font>
    <x:font>
      <x:sz val="10"/>
      <x:color rgb="FF192F44"/>
      <x:name val="Arial"/>
    </x:font>
    <x:font>
      <x:b/>
      <x:sz val="15"/>
      <x:color rgb="FF142E49"/>
      <x:name val="Arial"/>
    </x:font>
    <x:font>
      <x:b/>
      <x:sz val="10"/>
      <x:color rgb="FFFFFFFF"/>
      <x:name val="Arial"/>
    </x:font>
    <x:font>
      <x:sz val="10"/>
      <x:color rgb="FF1D58A6"/>
      <x:name val="Arial"/>
    </x:font>
    <x:font>
      <x:sz val="10"/>
      <x:color rgb="FF167143"/>
      <x:name val="Arial"/>
    </x:font>
    <x:font>
      <x:b/>
      <x:sz val="10"/>
      <x:color rgb="FF192F44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42E49"/>
      </x:patternFill>
    </x:fill>
    <x:fill>
      <x:patternFill patternType="solid">
        <x:fgColor rgb="FFFFF6DA"/>
      </x:patternFill>
    </x:fill>
    <x:fill>
      <x:patternFill patternType="solid">
        <x:fgColor rgb="FFE5EEF4"/>
      </x:patternFill>
    </x:fill>
    <x:fill>
      <x:patternFill patternType="solid">
        <x:fgColor rgb="FFCFE5D5"/>
      </x:patternFill>
    </x:fill>
    <x:fill>
      <x:patternFill patternType="solid">
        <x:fgColor rgb="FFF6DDA6"/>
      </x:patternFill>
    </x:fill>
    <x:fill>
      <x:patternFill patternType="solid">
        <x:fgColor rgb="FFF2B5A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4" fontId="4" fillId="3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7" fontId="5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8D2119"/>
      </x:font>
      <x:fill>
        <x:patternFill patternType="solid">
          <x:bgColor rgb="FFF2B5AA"/>
        </x:patternFill>
      </x:fill>
    </x:dxf>
    <x:dxf>
      <x:font>
        <x:b/>
        <x:color rgb="FF942A24"/>
      </x:font>
      <x:fill>
        <x:patternFill patternType="solid">
          <x:bgColor rgb="FFF7C7B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49353e034e4dc7" /><Relationship Type="http://schemas.openxmlformats.org/officeDocument/2006/relationships/theme" Target="/xl/theme/theme1.xml" Id="R40b466052dcd452a" /><Relationship Type="http://schemas.openxmlformats.org/officeDocument/2006/relationships/sharedStrings" Target="/xl/sharedStrings.xml" Id="R3e38b9a40f7f4190" /><Relationship Type="http://schemas.openxmlformats.org/officeDocument/2006/relationships/worksheet" Target="/xl/worksheets/sheet1.xml" Id="R997e6c15d82646e9" /><Relationship Type="http://schemas.openxmlformats.org/officeDocument/2006/relationships/worksheet" Target="/xl/worksheets/sheet2.xml" Id="R09407778a2224b3c" /><Relationship Type="http://schemas.openxmlformats.org/officeDocument/2006/relationships/worksheet" Target="/xl/worksheets/sheet3.xml" Id="R407a391543594b04" /><Relationship Type="http://schemas.openxmlformats.org/officeDocument/2006/relationships/worksheet" Target="/xl/worksheets/sheet4.xml" Id="R782da061e92c4330" /><Relationship Type="http://schemas.openxmlformats.org/officeDocument/2006/relationships/worksheet" Target="/xl/worksheets/sheet5.xml" Id="R2a23a7c79eab4b8d" /><Relationship Type="http://schemas.openxmlformats.org/officeDocument/2006/relationships/worksheet" Target="/xl/worksheets/sheet6.xml" Id="Redb7589521d14b40" /><Relationship Type="http://schemas.openxmlformats.org/officeDocument/2006/relationships/worksheet" Target="/xl/worksheets/sheet7.xml" Id="R4ca8a64a8bf64c00" /><Relationship Type="http://schemas.openxmlformats.org/officeDocument/2006/relationships/worksheet" Target="/xl/worksheets/sheet8.xml" Id="Rb97931d6d221418f" /><Relationship Type="http://schemas.openxmlformats.org/officeDocument/2006/relationships/worksheet" Target="/xl/worksheets/sheet9.xml" Id="R348682697dbb427a" /><Relationship Type="http://schemas.openxmlformats.org/officeDocument/2006/relationships/worksheet" Target="/xl/worksheets/sheet10.xml" Id="Rdcb9b57a3fc04143" /><Relationship Type="http://schemas.openxmlformats.org/officeDocument/2006/relationships/worksheet" Target="/xl/worksheets/sheet11.xml" Id="Rdcd8b6f883f742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b51ccc88958479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Línea base acumulada (USD)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Línea base acumulada USD</c:v>
          </c:tx>
          <c:spPr>
            <a:ln xmlns:a="http://schemas.openxmlformats.org/drawingml/2006/main" w="19050">
              <a:solidFill>
                <a:srgbClr val="007A78"/>
              </a:solidFill>
              <a:prstDash val="solid"/>
            </a:ln>
          </c:spPr>
          <c:marker>
            <c:symbol val="none"/>
          </c:marker>
          <c:cat>
            <c:strRef>
              <c:f>'Línea base'!$R$17:$R$23</c:f>
              <c:strCache>
                <c:ptCount val="0"/>
              </c:strCache>
            </c:strRef>
          </c:cat>
          <c:val>
            <c:numRef>
              <c:f>'Línea base'!$S$17:$S$23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51ccc88958479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13cf6d4ef6764774" /></Relationships>
</file>

<file path=xl/worksheets/sheet1.xml><?xml version="1.0" encoding="utf-8"?>
<x:worksheet xmlns:x="http://schemas.openxmlformats.org/spreadsheetml/2006/main">
  <x:sheetPr>
    <x:tabColor rgb="FF142E49"/>
  </x:sheetPr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  <x:col min="3" max="3" width="8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WorkHub · Entrega N4 · Grupo 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VCA Catalinas / Tandem. Plan académico para 31/10/2026; USD. Solo PDF y Excel como archivos de entrega.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2" customHeight="1">
      <x:c r="A5" s="6" t="str">
        <x:v>Presupuesto</x:v>
      </x:c>
      <x:c r="B5" s="6" t="str">
        <x:v>USD</x:v>
      </x:c>
      <x:c r="C5" s="6" t="str">
        <x:v>Criterio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30" customHeight="1">
      <x:c r="A6" s="2" t="str">
        <x:v>Mano de obra</x:v>
      </x:c>
      <x:c r="B6" s="20" t="n">
        <x:f>'Mano de obra'!H90</x:f>
        <x:v>235926</x:v>
      </x:c>
      <x:c r="C6" s="11" t="str">
        <x:v>Incluye Tandem 216.888 y horas VCA 19.038.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30" customHeight="1">
      <x:c r="A7" s="2" t="str">
        <x:v>Partidas no laborales</x:v>
      </x:c>
      <x:c r="B7" s="20" t="n">
        <x:f>Partidas!F18</x:f>
        <x:v>136774</x:v>
      </x:c>
      <x:c r="C7" s="11" t="str">
        <x:v>Licencia 108.000 y otras partidas 28.774.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30" customHeight="1">
      <x:c r="A8" s="2" t="str">
        <x:v>Actividades M / BAC operativo</x:v>
      </x:c>
      <x:c r="B8" s="20" t="n">
        <x:f>Tareas!H37</x:f>
        <x:v>372700</x:v>
      </x:c>
      <x:c r="C8" s="11" t="str">
        <x:v>Suma 31 tareas; M en línea base, PERT como contraste.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</x:row>
    <x:row r="9" ht="30" customHeight="1">
      <x:c r="A9" s="2" t="str">
        <x:v>Contingencia</x:v>
      </x:c>
      <x:c r="B9" s="20" t="n">
        <x:f>Riesgos!M25</x:f>
        <x:v>22000</x:v>
      </x:c>
      <x:c r="C9" s="11" t="str">
        <x:v>Asignada a 19 riesgos; dentro línea base.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 ht="30" customHeight="1">
      <x:c r="A10" s="14" t="str">
        <x:v>Línea base</x:v>
      </x:c>
      <x:c r="B10" s="22" t="n">
        <x:f>B8+B9</x:f>
        <x:v>394700</x:v>
      </x:c>
      <x:c r="C10" s="41" t="str">
        <x:v>Trabajo + contingencia.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30" customHeight="1">
      <x:c r="A11" s="2" t="str">
        <x:v>Reserva de gestión</x:v>
      </x:c>
      <x:c r="B11" s="20" t="n">
        <x:f>B10*Supuestos!B27</x:f>
        <x:v>15788</x:v>
      </x:c>
      <x:c r="C11" s="11" t="str">
        <x:v>4 % de línea base, fuera de ella.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30" customHeight="1">
      <x:c r="A12" s="14" t="str">
        <x:v>Presupuesto total</x:v>
      </x:c>
      <x:c r="B12" s="22" t="n">
        <x:f>B10+B11</x:f>
        <x:v>410488</x:v>
      </x:c>
      <x:c r="C12" s="41" t="str">
        <x:v>Línea base + gestión.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30" customHeight="1">
      <x:c r="A13" s="2" t="str">
        <x:v>Techo Acta</x:v>
      </x:c>
      <x:c r="B13" s="20" t="n">
        <x:f>Supuestos!B28</x:f>
        <x:v>420000</x:v>
      </x:c>
      <x:c r="C13" s="11" t="str">
        <x:v>No equivale al presupuesto estimado.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30" customHeight="1">
      <x:c r="A14" s="2" t="str">
        <x:v>Margen sin asignar</x:v>
      </x:c>
      <x:c r="B14" s="21" t="n">
        <x:f>B13-B12</x:f>
        <x:v>9512</x:v>
      </x:c>
      <x:c r="C14" s="11" t="str">
        <x:v>No reserva ni obligación de gasto.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30" customHeight="1">
      <x:c r="A15" s="2" t="str">
        <x:v>PERT técnico agregado</x:v>
      </x:c>
      <x:c r="B15" s="20" t="n">
        <x:f>Tareas!J37</x:f>
        <x:v>378476.2583333333</x:v>
      </x:c>
      <x:c r="C15" s="11" t="str">
        <x:v>No incrementa precio fijo K-2 automáticamente.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30" customHeight="1">
      <x:c r="A16" s="2" t="str">
        <x:v>Diferencia PERT−M</x:v>
      </x:c>
      <x:c r="B16" s="21" t="n">
        <x:f>B15-B8</x:f>
        <x:v>5776.258333333302</x:v>
      </x:c>
      <x:c r="C16" s="11" t="str">
        <x:v>No se suma a contingencia.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30" customHeight="1">
      <x:c r="A17" s="2" t="str">
        <x:v>Diferencia contra N1 398.000</x:v>
      </x:c>
      <x:c r="B17" s="21" t="n">
        <x:f>B8-398000</x:f>
        <x:v>-25300</x:v>
      </x:c>
      <x:c r="C17" s="11" t="str">
        <x:v>M ascendente valida, no fuerza total N1.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 ht="32" customHeight="1">
      <x:c r="A20" s="6" t="str">
        <x:v>Conciliación</x:v>
      </x:c>
      <x:c r="B20" s="6" t="str">
        <x:v>Diferencia USD</x:v>
      </x:c>
      <x:c r="C20" s="6" t="str">
        <x:v>Tolerancia monetaria 0,01 USD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 ht="24" customHeight="1">
      <x:c r="A21" s="2" t="str">
        <x:v>Labor + no laboral = M</x:v>
      </x:c>
      <x:c r="B21" s="39" t="n">
        <x:f>B6+B7-B8</x:f>
        <x:v>0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24" customHeight="1">
      <x:c r="A22" s="2" t="str">
        <x:v>Mensual línea base = total</x:v>
      </x:c>
      <x:c r="B22" s="40" t="n">
        <x:f>ROUND('Línea base'!D13-B10,2)</x:f>
        <x:v>0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24" customHeight="1">
      <x:c r="A23" s="2" t="str">
        <x:v>Reserva versus provisión heredada</x:v>
      </x:c>
      <x:c r="B23" s="39" t="n">
        <x:f>B9-22000</x:f>
        <x:v>0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24" customHeight="1">
      <x:c r="A24" s="2" t="str">
        <x:v>31 paquetes / tareas</x:v>
      </x:c>
      <x:c r="B24" s="40" t="n">
        <x:f>COUNTA(Tareas!A6:A36)-31</x:f>
        <x:v>0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24" customHeight="1">
      <x:c r="A27" s="2" t="str">
        <x:v>Uso</x:v>
      </x:c>
      <x:c r="B27" s="2" t="str">
        <x:v>Detalle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24" customHeight="1">
      <x:c r="A28" s="2" t="str">
        <x:v>Tareas / Mano de obra / Partidas</x:v>
      </x:c>
      <x:c r="B28" s="2" t="str">
        <x:v>Base y escenarios; tarifas en Supuestos.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24" customHeight="1">
      <x:c r="A29" s="2" t="str">
        <x:v>Línea base</x:v>
      </x:c>
      <x:c r="B29" s="2" t="str">
        <x:v>Curva S y distribución con reserva por mes de riesgo.</x:v>
      </x:c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24" customHeight="1">
      <x:c r="A30" s="2" t="str">
        <x:v>EVM</x:v>
      </x:c>
      <x:c r="B30" s="2" t="str">
        <x:v>Plantilla real vacía, 43 componentes y ejemplo separado.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24" customHeight="1">
      <x:c r="A31" s="2" t="str">
        <x:v>Calidad</x:v>
      </x:c>
      <x:c r="B31" s="2" t="str">
        <x:v>8 criterios, medición, responsables y bloqueo.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4" customHeight="1">
      <x:c r="A32" s="2" t="str">
        <x:v>Riesgos / Matriz</x:v>
      </x:c>
      <x:c r="B32" s="2" t="str">
        <x:v>19 riesgos con planes y monitoreo; 17 heredados + 2 de software nuevos.</x:v>
      </x:c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4" customHeight="1">
      <x:c r="A33" s="2" t="str">
        <x:v>Límite</x:v>
      </x:c>
      <x:c r="B33" s="2" t="str">
        <x:v>No se verificó comportamiento en Microsoft Excel nativo; fórmulas calculadas en Artifact Tool.</x:v>
      </x:c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</x:row>
    <x:row r="100" ht="24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</x:row>
    <x:row r="101" ht="24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</x:row>
    <x:row r="107" ht="24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</x:row>
    <x:row r="111" ht="24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</x:row>
    <x:row r="112" ht="24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</x:row>
    <x:row r="113" ht="24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</x:row>
    <x:row r="116" ht="24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</x:row>
    <x:row r="117" ht="24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</x:row>
    <x:row r="118" ht="24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</x:row>
    <x:row r="120" ht="24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</x:row>
    <x:row r="121" ht="24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</x:row>
    <x:row r="122" ht="24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</x:row>
    <x:row r="123" ht="24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</x:row>
    <x:row r="124" ht="24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</x:row>
    <x:row r="125" ht="24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</x:row>
    <x:row r="126" ht="24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</x:row>
    <x:row r="127" ht="24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</x:row>
    <x:row r="128" ht="24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</x:row>
    <x:row r="129" ht="24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</x:row>
    <x:row r="130" ht="24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</x:row>
  </x:sheetData>
  <x:conditionalFormatting sqref="B21:B24">
    <x:cfRule type="expression" dxfId="1" priority="1">
      <x:formula>ABS(B21)&gt;0.01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50" hidden="0" customWidth="1"/>
    <x:col min="3" max="3" width="15" hidden="0" customWidth="1"/>
    <x:col min="4" max="4" width="1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8" hidden="0" customWidth="1"/>
    <x:col min="11" max="11" width="17" hidden="0" customWidth="1"/>
    <x:col min="12" max="12" width="17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Presupuesto por las 31 tareas EDT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M en línea base. O/M/P son USD para alcance constante; PERT=(O+4M+P)/6. NL fijo en los tres escenarios.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2" customHeight="1">
      <x:c r="A5" s="6" t="str">
        <x:v>EDT</x:v>
      </x:c>
      <x:c r="B5" s="6" t="str">
        <x:v>Tarea</x:v>
      </x:c>
      <x:c r="C5" s="6" t="str">
        <x:v>Duración d</x:v>
      </x:c>
      <x:c r="D5" s="6" t="str">
        <x:v>Clase</x:v>
      </x:c>
      <x:c r="E5" s="6" t="str">
        <x:v>Labor USD</x:v>
      </x:c>
      <x:c r="F5" s="6" t="str">
        <x:v>NL USD</x:v>
      </x:c>
      <x:c r="G5" s="6" t="str">
        <x:v>O USD</x:v>
      </x:c>
      <x:c r="H5" s="6" t="str">
        <x:v>M USD</x:v>
      </x:c>
      <x:c r="I5" s="6" t="str">
        <x:v>P USD</x:v>
      </x:c>
      <x:c r="J5" s="6" t="str">
        <x:v>PERT USD</x:v>
      </x:c>
      <x:c r="K5" s="6" t="str">
        <x:v>Inicio</x:v>
      </x:c>
      <x:c r="L5" s="6" t="str">
        <x:v>Fin</x:v>
      </x:c>
      <x:c r="M5" s="2"/>
      <x:c r="N5" s="2"/>
      <x:c r="O5" s="2"/>
      <x:c r="P5" s="2"/>
      <x:c r="Q5" s="2"/>
      <x:c r="R5" s="2"/>
      <x:c r="S5" s="2"/>
      <x:c r="T5" s="2"/>
    </x:row>
    <x:row r="6" ht="24" customHeight="1">
      <x:c r="A6" s="2" t="str">
        <x:v>1.1</x:v>
      </x:c>
      <x:c r="B6" s="2" t="str">
        <x:v>Acta de constitución</x:v>
      </x:c>
      <x:c r="C6" s="8" t="n">
        <x:v>2</x:v>
      </x:c>
      <x:c r="D6" s="2" t="str">
        <x:v>A</x:v>
      </x:c>
      <x:c r="E6" s="20" t="n">
        <x:f>SUMIF('Mano de obra'!$A$6:$A$89,A6,'Mano de obra'!$H$6:$H$89)</x:f>
        <x:v>1040</x:v>
      </x:c>
      <x:c r="F6" s="20" t="n">
        <x:f>SUMIF(Partidas!$G$6:$G$17,A6,Partidas!$F$6:$F$17)</x:f>
        <x:v>108000</x:v>
      </x:c>
      <x:c r="G6" s="20" t="n">
        <x:f>E6*Supuestos!C21+F6</x:f>
        <x:v>108936</x:v>
      </x:c>
      <x:c r="H6" s="21" t="n">
        <x:f>E6+F6</x:f>
        <x:v>109040</x:v>
      </x:c>
      <x:c r="I6" s="20" t="n">
        <x:f>E6*Supuestos!D21+F6</x:f>
        <x:v>109144</x:v>
      </x:c>
      <x:c r="J6" s="21" t="n">
        <x:f>(G6+4*H6+I6)/6</x:f>
        <x:v>109040</x:v>
      </x:c>
      <x:c r="K6" s="23" t="d">
        <x:v>2026-10-01T12:00:00.000Z</x:v>
      </x:c>
      <x:c r="L6" s="23" t="d">
        <x:v>2026-10-02T12:00:00.000Z</x:v>
      </x:c>
      <x:c r="M6" s="2"/>
      <x:c r="N6" s="2"/>
      <x:c r="O6" s="2"/>
      <x:c r="P6" s="2"/>
      <x:c r="Q6" s="2"/>
      <x:c r="R6" s="2"/>
      <x:c r="S6" s="2"/>
      <x:c r="T6" s="2"/>
    </x:row>
    <x:row r="7" ht="24" customHeight="1">
      <x:c r="A7" s="2" t="str">
        <x:v>1.2</x:v>
      </x:c>
      <x:c r="B7" s="2" t="str">
        <x:v>Declaración del alcance y EDT</x:v>
      </x:c>
      <x:c r="C7" s="8" t="n">
        <x:v>6</x:v>
      </x:c>
      <x:c r="D7" s="2" t="str">
        <x:v>A</x:v>
      </x:c>
      <x:c r="E7" s="20" t="n">
        <x:f>SUMIF('Mano de obra'!$A$6:$A$89,A7,'Mano de obra'!$H$6:$H$89)</x:f>
        <x:v>2136</x:v>
      </x:c>
      <x:c r="F7" s="20" t="n">
        <x:f>SUMIF(Partidas!$G$6:$G$17,A7,Partidas!$F$6:$F$17)</x:f>
        <x:v>0</x:v>
      </x:c>
      <x:c r="G7" s="20" t="n">
        <x:f>E7*Supuestos!C21+F7</x:f>
        <x:v>1922.4</x:v>
      </x:c>
      <x:c r="H7" s="21" t="n">
        <x:f>E7+F7</x:f>
        <x:v>2136</x:v>
      </x:c>
      <x:c r="I7" s="20" t="n">
        <x:f>E7*Supuestos!D21+F7</x:f>
        <x:v>2349.6000000000004</x:v>
      </x:c>
      <x:c r="J7" s="21" t="n">
        <x:f>(G7+4*H7+I7)/6</x:f>
        <x:v>2136</x:v>
      </x:c>
      <x:c r="K7" s="23" t="d">
        <x:v>2026-10-05T12:00:00.000Z</x:v>
      </x:c>
      <x:c r="L7" s="23" t="d">
        <x:v>2026-10-13T12:00:00.000Z</x:v>
      </x:c>
      <x:c r="M7" s="2"/>
      <x:c r="N7" s="2"/>
      <x:c r="O7" s="2"/>
      <x:c r="P7" s="2"/>
      <x:c r="Q7" s="2"/>
      <x:c r="R7" s="2"/>
      <x:c r="S7" s="2"/>
      <x:c r="T7" s="2"/>
    </x:row>
    <x:row r="8" ht="24" customHeight="1">
      <x:c r="A8" s="2" t="str">
        <x:v>1.3</x:v>
      </x:c>
      <x:c r="B8" s="2" t="str">
        <x:v>Cronograma, presupuesto y línea base</x:v>
      </x:c>
      <x:c r="C8" s="8" t="n">
        <x:v>6</x:v>
      </x:c>
      <x:c r="D8" s="2" t="str">
        <x:v>A</x:v>
      </x:c>
      <x:c r="E8" s="20" t="n">
        <x:f>SUMIF('Mano de obra'!$A$6:$A$89,A8,'Mano de obra'!$H$6:$H$89)</x:f>
        <x:v>935.9999999999999</x:v>
      </x:c>
      <x:c r="F8" s="20" t="n">
        <x:f>SUMIF(Partidas!$G$6:$G$17,A8,Partidas!$F$6:$F$17)</x:f>
        <x:v>0</x:v>
      </x:c>
      <x:c r="G8" s="20" t="n">
        <x:f>E8*Supuestos!C21+F8</x:f>
        <x:v>842.3999999999999</x:v>
      </x:c>
      <x:c r="H8" s="21" t="n">
        <x:f>E8+F8</x:f>
        <x:v>935.9999999999999</x:v>
      </x:c>
      <x:c r="I8" s="20" t="n">
        <x:f>E8*Supuestos!D21+F8</x:f>
        <x:v>1029.6</x:v>
      </x:c>
      <x:c r="J8" s="21" t="n">
        <x:f>(G8+4*H8+I8)/6</x:f>
        <x:v>936</x:v>
      </x:c>
      <x:c r="K8" s="23" t="d">
        <x:v>2026-10-05T12:00:00.000Z</x:v>
      </x:c>
      <x:c r="L8" s="23" t="d">
        <x:v>2026-10-13T12:00:00.000Z</x:v>
      </x:c>
      <x:c r="M8" s="2"/>
      <x:c r="N8" s="2"/>
      <x:c r="O8" s="2"/>
      <x:c r="P8" s="2"/>
      <x:c r="Q8" s="2"/>
      <x:c r="R8" s="2"/>
      <x:c r="S8" s="2"/>
      <x:c r="T8" s="2"/>
    </x:row>
    <x:row r="9" ht="24" customHeight="1">
      <x:c r="A9" s="2" t="str">
        <x:v>1.4</x:v>
      </x:c>
      <x:c r="B9" s="2" t="str">
        <x:v>Registro de riesgos e interesados</x:v>
      </x:c>
      <x:c r="C9" s="8" t="n">
        <x:v>5</x:v>
      </x:c>
      <x:c r="D9" s="2" t="str">
        <x:v>A</x:v>
      </x:c>
      <x:c r="E9" s="20" t="n">
        <x:f>SUMIF('Mano de obra'!$A$6:$A$89,A9,'Mano de obra'!$H$6:$H$89)</x:f>
        <x:v>600</x:v>
      </x:c>
      <x:c r="F9" s="20" t="n">
        <x:f>SUMIF(Partidas!$G$6:$G$17,A9,Partidas!$F$6:$F$17)</x:f>
        <x:v>0</x:v>
      </x:c>
      <x:c r="G9" s="20" t="n">
        <x:f>E9*Supuestos!C21+F9</x:f>
        <x:v>540</x:v>
      </x:c>
      <x:c r="H9" s="21" t="n">
        <x:f>E9+F9</x:f>
        <x:v>600</x:v>
      </x:c>
      <x:c r="I9" s="20" t="n">
        <x:f>E9*Supuestos!D21+F9</x:f>
        <x:v>660</x:v>
      </x:c>
      <x:c r="J9" s="21" t="n">
        <x:f>(G9+4*H9+I9)/6</x:f>
        <x:v>600</x:v>
      </x:c>
      <x:c r="K9" s="23" t="d">
        <x:v>2026-10-05T12:00:00.000Z</x:v>
      </x:c>
      <x:c r="L9" s="23" t="d">
        <x:v>2026-10-09T12:00:00.000Z</x:v>
      </x:c>
      <x:c r="M9" s="2"/>
      <x:c r="N9" s="2"/>
      <x:c r="O9" s="2"/>
      <x:c r="P9" s="2"/>
      <x:c r="Q9" s="2"/>
      <x:c r="R9" s="2"/>
      <x:c r="S9" s="2"/>
      <x:c r="T9" s="2"/>
    </x:row>
    <x:row r="10" ht="24" customHeight="1">
      <x:c r="A10" s="2" t="str">
        <x:v>1.5</x:v>
      </x:c>
      <x:c r="B10" s="2" t="str">
        <x:v>Seguimiento, cambios e informes (tarea resumen)</x:v>
      </x:c>
      <x:c r="C10" s="8" t="n">
        <x:v>132</x:v>
      </x:c>
      <x:c r="D10" s="2" t="str">
        <x:v>A</x:v>
      </x:c>
      <x:c r="E10" s="20" t="n">
        <x:f>SUMIF('Mano de obra'!$A$6:$A$89,A10,'Mano de obra'!$H$6:$H$89)</x:f>
        <x:v>34320</x:v>
      </x:c>
      <x:c r="F10" s="20" t="n">
        <x:f>SUMIF(Partidas!$G$6:$G$17,A10,Partidas!$F$6:$F$17)</x:f>
        <x:v>0</x:v>
      </x:c>
      <x:c r="G10" s="20" t="n">
        <x:f>E10*Supuestos!C21+F10</x:f>
        <x:v>30888</x:v>
      </x:c>
      <x:c r="H10" s="21" t="n">
        <x:f>E10+F10</x:f>
        <x:v>34320</x:v>
      </x:c>
      <x:c r="I10" s="20" t="n">
        <x:f>E10*Supuestos!D21+F10</x:f>
        <x:v>37752</x:v>
      </x:c>
      <x:c r="J10" s="21" t="n">
        <x:f>(G10+4*H10+I10)/6</x:f>
        <x:v>34320</x:v>
      </x:c>
      <x:c r="K10" s="23" t="d">
        <x:v>2026-10-14T12:00:00.000Z</x:v>
      </x:c>
      <x:c r="L10" s="23" t="d">
        <x:v>2027-04-30T12:00:00.000Z</x:v>
      </x:c>
      <x:c r="M10" s="2"/>
      <x:c r="N10" s="2"/>
      <x:c r="O10" s="2"/>
      <x:c r="P10" s="2"/>
      <x:c r="Q10" s="2"/>
      <x:c r="R10" s="2"/>
      <x:c r="S10" s="2"/>
      <x:c r="T10" s="2"/>
    </x:row>
    <x:row r="11" ht="24" customHeight="1">
      <x:c r="A11" s="2" t="str">
        <x:v>1.6</x:v>
      </x:c>
      <x:c r="B11" s="2" t="str">
        <x:v>Cierre y lecciones aprendidas</x:v>
      </x:c>
      <x:c r="C11" s="8" t="n">
        <x:v>5</x:v>
      </x:c>
      <x:c r="D11" s="2" t="str">
        <x:v>A</x:v>
      </x:c>
      <x:c r="E11" s="20" t="n">
        <x:f>SUMIF('Mano de obra'!$A$6:$A$89,A11,'Mano de obra'!$H$6:$H$89)</x:f>
        <x:v>1020</x:v>
      </x:c>
      <x:c r="F11" s="20" t="n">
        <x:f>SUMIF(Partidas!$G$6:$G$17,A11,Partidas!$F$6:$F$17)</x:f>
        <x:v>0</x:v>
      </x:c>
      <x:c r="G11" s="20" t="n">
        <x:f>E11*Supuestos!C21+F11</x:f>
        <x:v>918</x:v>
      </x:c>
      <x:c r="H11" s="21" t="n">
        <x:f>E11+F11</x:f>
        <x:v>1020</x:v>
      </x:c>
      <x:c r="I11" s="20" t="n">
        <x:f>E11*Supuestos!D21+F11</x:f>
        <x:v>1122</x:v>
      </x:c>
      <x:c r="J11" s="21" t="n">
        <x:f>(G11+4*H11+I11)/6</x:f>
        <x:v>1020</x:v>
      </x:c>
      <x:c r="K11" s="23" t="d">
        <x:v>2027-04-26T12:00:00.000Z</x:v>
      </x:c>
      <x:c r="L11" s="23" t="d">
        <x:v>2027-04-30T12:00:00.000Z</x:v>
      </x:c>
      <x:c r="M11" s="2"/>
      <x:c r="N11" s="2"/>
      <x:c r="O11" s="2"/>
      <x:c r="P11" s="2"/>
      <x:c r="Q11" s="2"/>
      <x:c r="R11" s="2"/>
      <x:c r="S11" s="2"/>
      <x:c r="T11" s="2"/>
    </x:row>
    <x:row r="12" ht="24" customHeight="1">
      <x:c r="A12" s="2" t="str">
        <x:v>2.1</x:v>
      </x:c>
      <x:c r="B12" s="2" t="str">
        <x:v>Relevamiento y reglas de negocio</x:v>
      </x:c>
      <x:c r="C12" s="8" t="n">
        <x:v>10</x:v>
      </x:c>
      <x:c r="D12" s="2" t="str">
        <x:v>B</x:v>
      </x:c>
      <x:c r="E12" s="20" t="n">
        <x:f>SUMIF('Mano de obra'!$A$6:$A$89,A12,'Mano de obra'!$H$6:$H$89)</x:f>
        <x:v>7060</x:v>
      </x:c>
      <x:c r="F12" s="20" t="n">
        <x:f>SUMIF(Partidas!$G$6:$G$17,A12,Partidas!$F$6:$F$17)</x:f>
        <x:v>0</x:v>
      </x:c>
      <x:c r="G12" s="20" t="n">
        <x:f>E12*Supuestos!C22+F12</x:f>
        <x:v>6001</x:v>
      </x:c>
      <x:c r="H12" s="21" t="n">
        <x:f>E12+F12</x:f>
        <x:v>7060</x:v>
      </x:c>
      <x:c r="I12" s="20" t="n">
        <x:f>E12*Supuestos!D22+F12</x:f>
        <x:v>9178</x:v>
      </x:c>
      <x:c r="J12" s="21" t="n">
        <x:f>(G12+4*H12+I12)/6</x:f>
        <x:v>7236.5</x:v>
      </x:c>
      <x:c r="K12" s="23" t="d">
        <x:v>2026-10-14T12:00:00.000Z</x:v>
      </x:c>
      <x:c r="L12" s="23" t="d">
        <x:v>2026-10-27T12:00:00.000Z</x:v>
      </x:c>
      <x:c r="M12" s="2"/>
      <x:c r="N12" s="2"/>
      <x:c r="O12" s="2"/>
      <x:c r="P12" s="2"/>
      <x:c r="Q12" s="2"/>
      <x:c r="R12" s="2"/>
      <x:c r="S12" s="2"/>
      <x:c r="T12" s="2"/>
    </x:row>
    <x:row r="13" ht="24" customHeight="1">
      <x:c r="A13" s="2" t="str">
        <x:v>2.2</x:v>
      </x:c>
      <x:c r="B13" s="2" t="str">
        <x:v>Planos e inventario de espacios</x:v>
      </x:c>
      <x:c r="C13" s="8" t="n">
        <x:v>15</x:v>
      </x:c>
      <x:c r="D13" s="2" t="str">
        <x:v>B</x:v>
      </x:c>
      <x:c r="E13" s="20" t="n">
        <x:f>SUMIF('Mano de obra'!$A$6:$A$89,A13,'Mano de obra'!$H$6:$H$89)</x:f>
        <x:v>2655</x:v>
      </x:c>
      <x:c r="F13" s="20" t="n">
        <x:f>SUMIF(Partidas!$G$6:$G$17,A13,Partidas!$F$6:$F$17)</x:f>
        <x:v>0</x:v>
      </x:c>
      <x:c r="G13" s="20" t="n">
        <x:f>E13*Supuestos!C22+F13</x:f>
        <x:v>2256.75</x:v>
      </x:c>
      <x:c r="H13" s="21" t="n">
        <x:f>E13+F13</x:f>
        <x:v>2655</x:v>
      </x:c>
      <x:c r="I13" s="20" t="n">
        <x:f>E13*Supuestos!D22+F13</x:f>
        <x:v>3451.5</x:v>
      </x:c>
      <x:c r="J13" s="21" t="n">
        <x:f>(G13+4*H13+I13)/6</x:f>
        <x:v>2721.375</x:v>
      </x:c>
      <x:c r="K13" s="23" t="d">
        <x:v>2026-10-28T12:00:00.000Z</x:v>
      </x:c>
      <x:c r="L13" s="23" t="d">
        <x:v>2026-11-17T12:00:00.000Z</x:v>
      </x:c>
      <x:c r="M13" s="2"/>
      <x:c r="N13" s="2"/>
      <x:c r="O13" s="2"/>
      <x:c r="P13" s="2"/>
      <x:c r="Q13" s="2"/>
      <x:c r="R13" s="2"/>
      <x:c r="S13" s="2"/>
      <x:c r="T13" s="2"/>
    </x:row>
    <x:row r="14" ht="24" customHeight="1">
      <x:c r="A14" s="2" t="str">
        <x:v>2.3</x:v>
      </x:c>
      <x:c r="B14" s="2" t="str">
        <x:v>Módulo de reserva de escritorios</x:v>
      </x:c>
      <x:c r="C14" s="8" t="n">
        <x:v>18</x:v>
      </x:c>
      <x:c r="D14" s="2" t="str">
        <x:v>B</x:v>
      </x:c>
      <x:c r="E14" s="20" t="n">
        <x:f>SUMIF('Mano de obra'!$A$6:$A$89,A14,'Mano de obra'!$H$6:$H$89)</x:f>
        <x:v>10728</x:v>
      </x:c>
      <x:c r="F14" s="20" t="n">
        <x:f>SUMIF(Partidas!$G$6:$G$17,A14,Partidas!$F$6:$F$17)</x:f>
        <x:v>0</x:v>
      </x:c>
      <x:c r="G14" s="20" t="n">
        <x:f>E14*Supuestos!C22+F14</x:f>
        <x:v>9118.8</x:v>
      </x:c>
      <x:c r="H14" s="21" t="n">
        <x:f>E14+F14</x:f>
        <x:v>10728</x:v>
      </x:c>
      <x:c r="I14" s="20" t="n">
        <x:f>E14*Supuestos!D22+F14</x:f>
        <x:v>13946.4</x:v>
      </x:c>
      <x:c r="J14" s="21" t="n">
        <x:f>(G14+4*H14+I14)/6</x:f>
        <x:v>10996.199999999999</x:v>
      </x:c>
      <x:c r="K14" s="23" t="d">
        <x:v>2026-10-21T12:00:00.000Z</x:v>
      </x:c>
      <x:c r="L14" s="23" t="d">
        <x:v>2026-11-13T12:00:00.000Z</x:v>
      </x:c>
      <x:c r="M14" s="2"/>
      <x:c r="N14" s="2"/>
      <x:c r="O14" s="2"/>
      <x:c r="P14" s="2"/>
      <x:c r="Q14" s="2"/>
      <x:c r="R14" s="2"/>
      <x:c r="S14" s="2"/>
      <x:c r="T14" s="2"/>
    </x:row>
    <x:row r="15" ht="24" customHeight="1">
      <x:c r="A15" s="2" t="str">
        <x:v>2.4</x:v>
      </x:c>
      <x:c r="B15" s="2" t="str">
        <x:v>Módulo de reserva de salas</x:v>
      </x:c>
      <x:c r="C15" s="8" t="n">
        <x:v>15</x:v>
      </x:c>
      <x:c r="D15" s="2" t="str">
        <x:v>B</x:v>
      </x:c>
      <x:c r="E15" s="20" t="n">
        <x:f>SUMIF('Mano de obra'!$A$6:$A$89,A15,'Mano de obra'!$H$6:$H$89)</x:f>
        <x:v>8940</x:v>
      </x:c>
      <x:c r="F15" s="20" t="n">
        <x:f>SUMIF(Partidas!$G$6:$G$17,A15,Partidas!$F$6:$F$17)</x:f>
        <x:v>0</x:v>
      </x:c>
      <x:c r="G15" s="20" t="n">
        <x:f>E15*Supuestos!C22+F15</x:f>
        <x:v>7599</x:v>
      </x:c>
      <x:c r="H15" s="21" t="n">
        <x:f>E15+F15</x:f>
        <x:v>8940</x:v>
      </x:c>
      <x:c r="I15" s="20" t="n">
        <x:f>E15*Supuestos!D22+F15</x:f>
        <x:v>11622</x:v>
      </x:c>
      <x:c r="J15" s="21" t="n">
        <x:f>(G15+4*H15+I15)/6</x:f>
        <x:v>9163.5</x:v>
      </x:c>
      <x:c r="K15" s="23" t="d">
        <x:v>2026-10-28T12:00:00.000Z</x:v>
      </x:c>
      <x:c r="L15" s="23" t="d">
        <x:v>2026-11-17T12:00:00.000Z</x:v>
      </x:c>
      <x:c r="M15" s="2"/>
      <x:c r="N15" s="2"/>
      <x:c r="O15" s="2"/>
      <x:c r="P15" s="2"/>
      <x:c r="Q15" s="2"/>
      <x:c r="R15" s="2"/>
      <x:c r="S15" s="2"/>
      <x:c r="T15" s="2"/>
    </x:row>
    <x:row r="16" ht="24" customHeight="1">
      <x:c r="A16" s="2" t="str">
        <x:v>2.5</x:v>
      </x:c>
      <x:c r="B16" s="2" t="str">
        <x:v>Check-in, check-out y liberación</x:v>
      </x:c>
      <x:c r="C16" s="8" t="n">
        <x:v>12</x:v>
      </x:c>
      <x:c r="D16" s="2" t="str">
        <x:v>C</x:v>
      </x:c>
      <x:c r="E16" s="20" t="n">
        <x:f>SUMIF('Mano de obra'!$A$6:$A$89,A16,'Mano de obra'!$H$6:$H$89)</x:f>
        <x:v>6144</x:v>
      </x:c>
      <x:c r="F16" s="20" t="n">
        <x:f>SUMIF(Partidas!$G$6:$G$17,A16,Partidas!$F$6:$F$17)</x:f>
        <x:v>0</x:v>
      </x:c>
      <x:c r="G16" s="20" t="n">
        <x:f>E16*Supuestos!C23+F16</x:f>
        <x:v>4915.200000000001</x:v>
      </x:c>
      <x:c r="H16" s="21" t="n">
        <x:f>E16+F16</x:f>
        <x:v>6144</x:v>
      </x:c>
      <x:c r="I16" s="20" t="n">
        <x:f>E16*Supuestos!D23+F16</x:f>
        <x:v>8601.599999999999</x:v>
      </x:c>
      <x:c r="J16" s="21" t="n">
        <x:f>(G16+4*H16+I16)/6</x:f>
        <x:v>6348.8</x:v>
      </x:c>
      <x:c r="K16" s="23" t="d">
        <x:v>2026-11-16T12:00:00.000Z</x:v>
      </x:c>
      <x:c r="L16" s="23" t="d">
        <x:v>2026-12-02T12:00:00.000Z</x:v>
      </x:c>
      <x:c r="M16" s="2"/>
      <x:c r="N16" s="2"/>
      <x:c r="O16" s="2"/>
      <x:c r="P16" s="2"/>
      <x:c r="Q16" s="2"/>
      <x:c r="R16" s="2"/>
      <x:c r="S16" s="2"/>
      <x:c r="T16" s="2"/>
    </x:row>
    <x:row r="17" ht="24" customHeight="1">
      <x:c r="A17" s="2" t="str">
        <x:v>2.6</x:v>
      </x:c>
      <x:c r="B17" s="2" t="str">
        <x:v>Notificaciones y sugerencias</x:v>
      </x:c>
      <x:c r="C17" s="8" t="n">
        <x:v>15</x:v>
      </x:c>
      <x:c r="D17" s="2" t="str">
        <x:v>B</x:v>
      </x:c>
      <x:c r="E17" s="20" t="n">
        <x:f>SUMIF('Mano de obra'!$A$6:$A$89,A17,'Mano de obra'!$H$6:$H$89)</x:f>
        <x:v>9120</x:v>
      </x:c>
      <x:c r="F17" s="20" t="n">
        <x:f>SUMIF(Partidas!$G$6:$G$17,A17,Partidas!$F$6:$F$17)</x:f>
        <x:v>0</x:v>
      </x:c>
      <x:c r="G17" s="20" t="n">
        <x:f>E17*Supuestos!C22+F17</x:f>
        <x:v>7752</x:v>
      </x:c>
      <x:c r="H17" s="21" t="n">
        <x:f>E17+F17</x:f>
        <x:v>9120</x:v>
      </x:c>
      <x:c r="I17" s="20" t="n">
        <x:f>E17*Supuestos!D22+F17</x:f>
        <x:v>11856</x:v>
      </x:c>
      <x:c r="J17" s="21" t="n">
        <x:f>(G17+4*H17+I17)/6</x:f>
        <x:v>9348</x:v>
      </x:c>
      <x:c r="K17" s="23" t="d">
        <x:v>2026-12-03T12:00:00.000Z</x:v>
      </x:c>
      <x:c r="L17" s="23" t="d">
        <x:v>2026-12-28T12:00:00.000Z</x:v>
      </x:c>
      <x:c r="M17" s="2"/>
      <x:c r="N17" s="2"/>
      <x:c r="O17" s="2"/>
      <x:c r="P17" s="2"/>
      <x:c r="Q17" s="2"/>
      <x:c r="R17" s="2"/>
      <x:c r="S17" s="2"/>
      <x:c r="T17" s="2"/>
    </x:row>
    <x:row r="18" ht="24" customHeight="1">
      <x:c r="A18" s="2" t="str">
        <x:v>2.7</x:v>
      </x:c>
      <x:c r="B18" s="2" t="str">
        <x:v>Diseño UX</x:v>
      </x:c>
      <x:c r="C18" s="8" t="n">
        <x:v>15</x:v>
      </x:c>
      <x:c r="D18" s="2" t="str">
        <x:v>B</x:v>
      </x:c>
      <x:c r="E18" s="20" t="n">
        <x:f>SUMIF('Mano de obra'!$A$6:$A$89,A18,'Mano de obra'!$H$6:$H$89)</x:f>
        <x:v>5220</x:v>
      </x:c>
      <x:c r="F18" s="20" t="n">
        <x:f>SUMIF(Partidas!$G$6:$G$17,A18,Partidas!$F$6:$F$17)</x:f>
        <x:v>0</x:v>
      </x:c>
      <x:c r="G18" s="20" t="n">
        <x:f>E18*Supuestos!C22+F18</x:f>
        <x:v>4437</x:v>
      </x:c>
      <x:c r="H18" s="21" t="n">
        <x:f>E18+F18</x:f>
        <x:v>5220</x:v>
      </x:c>
      <x:c r="I18" s="20" t="n">
        <x:f>E18*Supuestos!D22+F18</x:f>
        <x:v>6786</x:v>
      </x:c>
      <x:c r="J18" s="21" t="n">
        <x:f>(G18+4*H18+I18)/6</x:f>
        <x:v>5350.5</x:v>
      </x:c>
      <x:c r="K18" s="23" t="d">
        <x:v>2026-10-28T12:00:00.000Z</x:v>
      </x:c>
      <x:c r="L18" s="23" t="d">
        <x:v>2026-11-17T12:00:00.000Z</x:v>
      </x:c>
      <x:c r="M18" s="2"/>
      <x:c r="N18" s="2"/>
      <x:c r="O18" s="2"/>
      <x:c r="P18" s="2"/>
      <x:c r="Q18" s="2"/>
      <x:c r="R18" s="2"/>
      <x:c r="S18" s="2"/>
      <x:c r="T18" s="2"/>
    </x:row>
    <x:row r="19" ht="24" customHeight="1">
      <x:c r="A19" s="2" t="str">
        <x:v>2.8</x:v>
      </x:c>
      <x:c r="B19" s="2" t="str">
        <x:v>Implementación bot de Teams</x:v>
      </x:c>
      <x:c r="C19" s="8" t="n">
        <x:v>10</x:v>
      </x:c>
      <x:c r="D19" s="2" t="str">
        <x:v>C</x:v>
      </x:c>
      <x:c r="E19" s="20" t="n">
        <x:f>SUMIF('Mano de obra'!$A$6:$A$89,A19,'Mano de obra'!$H$6:$H$89)</x:f>
        <x:v>2920</x:v>
      </x:c>
      <x:c r="F19" s="20" t="n">
        <x:f>SUMIF(Partidas!$G$6:$G$17,A19,Partidas!$F$6:$F$17)</x:f>
        <x:v>0</x:v>
      </x:c>
      <x:c r="G19" s="20" t="n">
        <x:f>E19*Supuestos!C23+F19</x:f>
        <x:v>2336</x:v>
      </x:c>
      <x:c r="H19" s="21" t="n">
        <x:f>E19+F19</x:f>
        <x:v>2920</x:v>
      </x:c>
      <x:c r="I19" s="20" t="n">
        <x:f>E19*Supuestos!D23+F19</x:f>
        <x:v>4087.9999999999995</x:v>
      </x:c>
      <x:c r="J19" s="21" t="n">
        <x:f>(G19+4*H19+I19)/6</x:f>
        <x:v>3017.3333333333335</x:v>
      </x:c>
      <x:c r="K19" s="23" t="d">
        <x:v>2026-11-18T12:00:00.000Z</x:v>
      </x:c>
      <x:c r="L19" s="23" t="d">
        <x:v>2026-12-02T12:00:00.000Z</x:v>
      </x:c>
      <x:c r="M19" s="2"/>
      <x:c r="N19" s="2"/>
      <x:c r="O19" s="2"/>
      <x:c r="P19" s="2"/>
      <x:c r="Q19" s="2"/>
      <x:c r="R19" s="2"/>
      <x:c r="S19" s="2"/>
      <x:c r="T19" s="2"/>
    </x:row>
    <x:row r="20" ht="24" customHeight="1">
      <x:c r="A20" s="2" t="str">
        <x:v>2.9</x:v>
      </x:c>
      <x:c r="B20" s="2" t="str">
        <x:v>Configuración web</x:v>
      </x:c>
      <x:c r="C20" s="8" t="n">
        <x:v>12</x:v>
      </x:c>
      <x:c r="D20" s="2" t="str">
        <x:v>B</x:v>
      </x:c>
      <x:c r="E20" s="20" t="n">
        <x:f>SUMIF('Mano de obra'!$A$6:$A$89,A20,'Mano de obra'!$H$6:$H$89)</x:f>
        <x:v>7656</x:v>
      </x:c>
      <x:c r="F20" s="20" t="n">
        <x:f>SUMIF(Partidas!$G$6:$G$17,A20,Partidas!$F$6:$F$17)</x:f>
        <x:v>0</x:v>
      </x:c>
      <x:c r="G20" s="20" t="n">
        <x:f>E20*Supuestos!C22+F20</x:f>
        <x:v>6507.599999999999</x:v>
      </x:c>
      <x:c r="H20" s="21" t="n">
        <x:f>E20+F20</x:f>
        <x:v>7656</x:v>
      </x:c>
      <x:c r="I20" s="20" t="n">
        <x:f>E20*Supuestos!D22+F20</x:f>
        <x:v>9952.800000000001</x:v>
      </x:c>
      <x:c r="J20" s="21" t="n">
        <x:f>(G20+4*H20+I20)/6</x:f>
        <x:v>7847.400000000001</x:v>
      </x:c>
      <x:c r="K20" s="23" t="d">
        <x:v>2026-12-29T12:00:00.000Z</x:v>
      </x:c>
      <x:c r="L20" s="23" t="d">
        <x:v>2027-01-14T12:00:00.000Z</x:v>
      </x:c>
      <x:c r="M20" s="2"/>
      <x:c r="N20" s="2"/>
      <x:c r="O20" s="2"/>
      <x:c r="P20" s="2"/>
      <x:c r="Q20" s="2"/>
      <x:c r="R20" s="2"/>
      <x:c r="S20" s="2"/>
      <x:c r="T20" s="2"/>
    </x:row>
    <x:row r="21" ht="24" customHeight="1">
      <x:c r="A21" s="2" t="str">
        <x:v>3.1</x:v>
      </x:c>
      <x:c r="B21" s="2" t="str">
        <x:v>SSO y SCIM con Entra ID</x:v>
      </x:c>
      <x:c r="C21" s="8" t="n">
        <x:v>12</x:v>
      </x:c>
      <x:c r="D21" s="2" t="str">
        <x:v>C</x:v>
      </x:c>
      <x:c r="E21" s="20" t="n">
        <x:f>SUMIF('Mano de obra'!$A$6:$A$89,A21,'Mano de obra'!$H$6:$H$89)</x:f>
        <x:v>12660</x:v>
      </x:c>
      <x:c r="F21" s="20" t="n">
        <x:f>SUMIF(Partidas!$G$6:$G$17,A21,Partidas!$F$6:$F$17)</x:f>
        <x:v>0</x:v>
      </x:c>
      <x:c r="G21" s="20" t="n">
        <x:f>E21*Supuestos!C23+F21</x:f>
        <x:v>10128</x:v>
      </x:c>
      <x:c r="H21" s="21" t="n">
        <x:f>E21+F21</x:f>
        <x:v>12660</x:v>
      </x:c>
      <x:c r="I21" s="20" t="n">
        <x:f>E21*Supuestos!D23+F21</x:f>
        <x:v>17724</x:v>
      </x:c>
      <x:c r="J21" s="21" t="n">
        <x:f>(G21+4*H21+I21)/6</x:f>
        <x:v>13082</x:v>
      </x:c>
      <x:c r="K21" s="23" t="d">
        <x:v>2026-10-14T12:00:00.000Z</x:v>
      </x:c>
      <x:c r="L21" s="23" t="d">
        <x:v>2026-10-29T12:00:00.000Z</x:v>
      </x:c>
      <x:c r="M21" s="2"/>
      <x:c r="N21" s="2"/>
      <x:c r="O21" s="2"/>
      <x:c r="P21" s="2"/>
      <x:c r="Q21" s="2"/>
      <x:c r="R21" s="2"/>
      <x:c r="S21" s="2"/>
      <x:c r="T21" s="2"/>
    </x:row>
    <x:row r="22" ht="24" customHeight="1">
      <x:c r="A22" s="2" t="str">
        <x:v>3.2</x:v>
      </x:c>
      <x:c r="B22" s="2" t="str">
        <x:v>Sincronización con HRIS</x:v>
      </x:c>
      <x:c r="C22" s="8" t="n">
        <x:v>10</x:v>
      </x:c>
      <x:c r="D22" s="2" t="str">
        <x:v>C</x:v>
      </x:c>
      <x:c r="E22" s="20" t="n">
        <x:f>SUMIF('Mano de obra'!$A$6:$A$89,A22,'Mano de obra'!$H$6:$H$89)</x:f>
        <x:v>5370</x:v>
      </x:c>
      <x:c r="F22" s="20" t="n">
        <x:f>SUMIF(Partidas!$G$6:$G$17,A22,Partidas!$F$6:$F$17)</x:f>
        <x:v>2400</x:v>
      </x:c>
      <x:c r="G22" s="20" t="n">
        <x:f>E22*Supuestos!C23+F22</x:f>
        <x:v>6696</x:v>
      </x:c>
      <x:c r="H22" s="21" t="n">
        <x:f>E22+F22</x:f>
        <x:v>7770</x:v>
      </x:c>
      <x:c r="I22" s="20" t="n">
        <x:f>E22*Supuestos!D23+F22</x:f>
        <x:v>9918</x:v>
      </x:c>
      <x:c r="J22" s="21" t="n">
        <x:f>(G22+4*H22+I22)/6</x:f>
        <x:v>7949</x:v>
      </x:c>
      <x:c r="K22" s="23" t="d">
        <x:v>2026-10-30T12:00:00.000Z</x:v>
      </x:c>
      <x:c r="L22" s="23" t="d">
        <x:v>2026-11-12T12:00:00.000Z</x:v>
      </x:c>
      <x:c r="M22" s="2"/>
      <x:c r="N22" s="2"/>
      <x:c r="O22" s="2"/>
      <x:c r="P22" s="2"/>
      <x:c r="Q22" s="2"/>
      <x:c r="R22" s="2"/>
      <x:c r="S22" s="2"/>
      <x:c r="T22" s="2"/>
    </x:row>
    <x:row r="23" ht="24" customHeight="1">
      <x:c r="A23" s="2" t="str">
        <x:v>3.3</x:v>
      </x:c>
      <x:c r="B23" s="2" t="str">
        <x:v>Exchange, Outlook y Teams</x:v>
      </x:c>
      <x:c r="C23" s="8" t="n">
        <x:v>10</x:v>
      </x:c>
      <x:c r="D23" s="2" t="str">
        <x:v>C</x:v>
      </x:c>
      <x:c r="E23" s="20" t="n">
        <x:f>SUMIF('Mano de obra'!$A$6:$A$89,A23,'Mano de obra'!$H$6:$H$89)</x:f>
        <x:v>5180</x:v>
      </x:c>
      <x:c r="F23" s="20" t="n">
        <x:f>SUMIF(Partidas!$G$6:$G$17,A23,Partidas!$F$6:$F$17)</x:f>
        <x:v>0</x:v>
      </x:c>
      <x:c r="G23" s="20" t="n">
        <x:f>E23*Supuestos!C23+F23</x:f>
        <x:v>4144</x:v>
      </x:c>
      <x:c r="H23" s="21" t="n">
        <x:f>E23+F23</x:f>
        <x:v>5180</x:v>
      </x:c>
      <x:c r="I23" s="20" t="n">
        <x:f>E23*Supuestos!D23+F23</x:f>
        <x:v>7251.999999999999</x:v>
      </x:c>
      <x:c r="J23" s="21" t="n">
        <x:f>(G23+4*H23+I23)/6</x:f>
        <x:v>5352.666666666667</x:v>
      </x:c>
      <x:c r="K23" s="23" t="d">
        <x:v>2026-10-30T12:00:00.000Z</x:v>
      </x:c>
      <x:c r="L23" s="23" t="d">
        <x:v>2026-11-12T12:00:00.000Z</x:v>
      </x:c>
      <x:c r="M23" s="2"/>
      <x:c r="N23" s="2"/>
      <x:c r="O23" s="2"/>
      <x:c r="P23" s="2"/>
      <x:c r="Q23" s="2"/>
      <x:c r="R23" s="2"/>
      <x:c r="S23" s="2"/>
      <x:c r="T23" s="2"/>
    </x:row>
    <x:row r="24" ht="24" customHeight="1">
      <x:c r="A24" s="2" t="str">
        <x:v>3.4</x:v>
      </x:c>
      <x:c r="B24" s="2" t="str">
        <x:v>Seguridad y endurecimiento</x:v>
      </x:c>
      <x:c r="C24" s="8" t="n">
        <x:v>15</x:v>
      </x:c>
      <x:c r="D24" s="2" t="str">
        <x:v>C</x:v>
      </x:c>
      <x:c r="E24" s="20" t="n">
        <x:f>SUMIF('Mano de obra'!$A$6:$A$89,A24,'Mano de obra'!$H$6:$H$89)</x:f>
        <x:v>8820</x:v>
      </x:c>
      <x:c r="F24" s="20" t="n">
        <x:f>SUMIF(Partidas!$G$6:$G$17,A24,Partidas!$F$6:$F$17)</x:f>
        <x:v>7500</x:v>
      </x:c>
      <x:c r="G24" s="20" t="n">
        <x:f>E24*Supuestos!C23+F24</x:f>
        <x:v>14556</x:v>
      </x:c>
      <x:c r="H24" s="21" t="n">
        <x:f>E24+F24</x:f>
        <x:v>16320</x:v>
      </x:c>
      <x:c r="I24" s="20" t="n">
        <x:f>E24*Supuestos!D23+F24</x:f>
        <x:v>19848</x:v>
      </x:c>
      <x:c r="J24" s="21" t="n">
        <x:f>(G24+4*H24+I24)/6</x:f>
        <x:v>16614</x:v>
      </x:c>
      <x:c r="K24" s="23" t="d">
        <x:v>2026-11-13T12:00:00.000Z</x:v>
      </x:c>
      <x:c r="L24" s="23" t="d">
        <x:v>2026-12-04T12:00:00.000Z</x:v>
      </x:c>
      <x:c r="M24" s="2"/>
      <x:c r="N24" s="2"/>
      <x:c r="O24" s="2"/>
      <x:c r="P24" s="2"/>
      <x:c r="Q24" s="2"/>
      <x:c r="R24" s="2"/>
      <x:c r="S24" s="2"/>
      <x:c r="T24" s="2"/>
    </x:row>
    <x:row r="25" ht="24" customHeight="1">
      <x:c r="A25" s="2" t="str">
        <x:v>3.5</x:v>
      </x:c>
      <x:c r="B25" s="2" t="str">
        <x:v>Pruebas de integración y carga</x:v>
      </x:c>
      <x:c r="C25" s="8" t="n">
        <x:v>12</x:v>
      </x:c>
      <x:c r="D25" s="2" t="str">
        <x:v>C</x:v>
      </x:c>
      <x:c r="E25" s="20" t="n">
        <x:f>SUMIF('Mano de obra'!$A$6:$A$89,A25,'Mano de obra'!$H$6:$H$89)</x:f>
        <x:v>8352</x:v>
      </x:c>
      <x:c r="F25" s="20" t="n">
        <x:f>SUMIF(Partidas!$G$6:$G$17,A25,Partidas!$F$6:$F$17)</x:f>
        <x:v>0</x:v>
      </x:c>
      <x:c r="G25" s="20" t="n">
        <x:f>E25*Supuestos!C23+F25</x:f>
        <x:v>6681.6</x:v>
      </x:c>
      <x:c r="H25" s="21" t="n">
        <x:f>E25+F25</x:f>
        <x:v>8352</x:v>
      </x:c>
      <x:c r="I25" s="20" t="n">
        <x:f>E25*Supuestos!D23+F25</x:f>
        <x:v>11692.8</x:v>
      </x:c>
      <x:c r="J25" s="21" t="n">
        <x:f>(G25+4*H25+I25)/6</x:f>
        <x:v>8630.4</x:v>
      </x:c>
      <x:c r="K25" s="23" t="d">
        <x:v>2026-12-21T12:00:00.000Z</x:v>
      </x:c>
      <x:c r="L25" s="23" t="d">
        <x:v>2027-01-07T12:00:00.000Z</x:v>
      </x:c>
      <x:c r="M25" s="2"/>
      <x:c r="N25" s="2"/>
      <x:c r="O25" s="2"/>
      <x:c r="P25" s="2"/>
      <x:c r="Q25" s="2"/>
      <x:c r="R25" s="2"/>
      <x:c r="S25" s="2"/>
      <x:c r="T25" s="2"/>
    </x:row>
    <x:row r="26" ht="24" customHeight="1">
      <x:c r="A26" s="2" t="str">
        <x:v>4.1</x:v>
      </x:c>
      <x:c r="B26" s="2" t="str">
        <x:v>Impacto e interesados con RR.HH.</x:v>
      </x:c>
      <x:c r="C26" s="8" t="n">
        <x:v>10</x:v>
      </x:c>
      <x:c r="D26" s="2" t="str">
        <x:v>B</x:v>
      </x:c>
      <x:c r="E26" s="20" t="n">
        <x:f>SUMIF('Mano de obra'!$A$6:$A$89,A26,'Mano de obra'!$H$6:$H$89)</x:f>
        <x:v>4640</x:v>
      </x:c>
      <x:c r="F26" s="20" t="n">
        <x:f>SUMIF(Partidas!$G$6:$G$17,A26,Partidas!$F$6:$F$17)</x:f>
        <x:v>900</x:v>
      </x:c>
      <x:c r="G26" s="20" t="n">
        <x:f>E26*Supuestos!C22+F26</x:f>
        <x:v>4844</x:v>
      </x:c>
      <x:c r="H26" s="21" t="n">
        <x:f>E26+F26</x:f>
        <x:v>5540</x:v>
      </x:c>
      <x:c r="I26" s="20" t="n">
        <x:f>E26*Supuestos!D22+F26</x:f>
        <x:v>6932</x:v>
      </x:c>
      <x:c r="J26" s="21" t="n">
        <x:f>(G26+4*H26+I26)/6</x:f>
        <x:v>5656</x:v>
      </x:c>
      <x:c r="K26" s="23" t="d">
        <x:v>2026-10-13T12:00:00.000Z</x:v>
      </x:c>
      <x:c r="L26" s="23" t="d">
        <x:v>2026-10-26T12:00:00.000Z</x:v>
      </x:c>
      <x:c r="M26" s="2"/>
      <x:c r="N26" s="2"/>
      <x:c r="O26" s="2"/>
      <x:c r="P26" s="2"/>
      <x:c r="Q26" s="2"/>
      <x:c r="R26" s="2"/>
      <x:c r="S26" s="2"/>
      <x:c r="T26" s="2"/>
    </x:row>
    <x:row r="27" ht="24" customHeight="1">
      <x:c r="A27" s="2" t="str">
        <x:v>4.2</x:v>
      </x:c>
      <x:c r="B27" s="2" t="str">
        <x:v>Política de trabajo flexible</x:v>
      </x:c>
      <x:c r="C27" s="8" t="n">
        <x:v>10</x:v>
      </x:c>
      <x:c r="D27" s="2" t="str">
        <x:v>B</x:v>
      </x:c>
      <x:c r="E27" s="20" t="n">
        <x:f>SUMIF('Mano de obra'!$A$6:$A$89,A27,'Mano de obra'!$H$6:$H$89)</x:f>
        <x:v>4640</x:v>
      </x:c>
      <x:c r="F27" s="20" t="n">
        <x:f>SUMIF(Partidas!$G$6:$G$17,A27,Partidas!$F$6:$F$17)</x:f>
        <x:v>0</x:v>
      </x:c>
      <x:c r="G27" s="20" t="n">
        <x:f>E27*Supuestos!C22+F27</x:f>
        <x:v>3944</x:v>
      </x:c>
      <x:c r="H27" s="21" t="n">
        <x:f>E27+F27</x:f>
        <x:v>4640</x:v>
      </x:c>
      <x:c r="I27" s="20" t="n">
        <x:f>E27*Supuestos!D22+F27</x:f>
        <x:v>6032</x:v>
      </x:c>
      <x:c r="J27" s="21" t="n">
        <x:f>(G27+4*H27+I27)/6</x:f>
        <x:v>4756</x:v>
      </x:c>
      <x:c r="K27" s="23" t="d">
        <x:v>2026-10-27T12:00:00.000Z</x:v>
      </x:c>
      <x:c r="L27" s="23" t="d">
        <x:v>2026-11-09T12:00:00.000Z</x:v>
      </x:c>
      <x:c r="M27" s="2"/>
      <x:c r="N27" s="2"/>
      <x:c r="O27" s="2"/>
      <x:c r="P27" s="2"/>
      <x:c r="Q27" s="2"/>
      <x:c r="R27" s="2"/>
      <x:c r="S27" s="2"/>
      <x:c r="T27" s="2"/>
    </x:row>
    <x:row r="28" ht="24" customHeight="1">
      <x:c r="A28" s="2" t="str">
        <x:v>4.3</x:v>
      </x:c>
      <x:c r="B28" s="2" t="str">
        <x:v>Comunicación y lanzamiento</x:v>
      </x:c>
      <x:c r="C28" s="8" t="n">
        <x:v>15</x:v>
      </x:c>
      <x:c r="D28" s="2" t="str">
        <x:v>B</x:v>
      </x:c>
      <x:c r="E28" s="20" t="n">
        <x:f>SUMIF('Mano de obra'!$A$6:$A$89,A28,'Mano de obra'!$H$6:$H$89)</x:f>
        <x:v>7200</x:v>
      </x:c>
      <x:c r="F28" s="20" t="n">
        <x:f>SUMIF(Partidas!$G$6:$G$17,A28,Partidas!$F$6:$F$17)</x:f>
        <x:v>3600</x:v>
      </x:c>
      <x:c r="G28" s="20" t="n">
        <x:f>E28*Supuestos!C22+F28</x:f>
        <x:v>9720</x:v>
      </x:c>
      <x:c r="H28" s="21" t="n">
        <x:f>E28+F28</x:f>
        <x:v>10800</x:v>
      </x:c>
      <x:c r="I28" s="20" t="n">
        <x:f>E28*Supuestos!D22+F28</x:f>
        <x:v>12960</x:v>
      </x:c>
      <x:c r="J28" s="21" t="n">
        <x:f>(G28+4*H28+I28)/6</x:f>
        <x:v>10980</x:v>
      </x:c>
      <x:c r="K28" s="23" t="d">
        <x:v>2027-03-01T12:00:00.000Z</x:v>
      </x:c>
      <x:c r="L28" s="23" t="d">
        <x:v>2027-03-19T12:00:00.000Z</x:v>
      </x:c>
      <x:c r="M28" s="2"/>
      <x:c r="N28" s="2"/>
      <x:c r="O28" s="2"/>
      <x:c r="P28" s="2"/>
      <x:c r="Q28" s="2"/>
      <x:c r="R28" s="2"/>
      <x:c r="S28" s="2"/>
      <x:c r="T28" s="2"/>
    </x:row>
    <x:row r="29" ht="24" customHeight="1">
      <x:c r="A29" s="2" t="str">
        <x:v>4.4</x:v>
      </x:c>
      <x:c r="B29" s="2" t="str">
        <x:v>Referentes y capacitación</x:v>
      </x:c>
      <x:c r="C29" s="8" t="n">
        <x:v>15</x:v>
      </x:c>
      <x:c r="D29" s="2" t="str">
        <x:v>B</x:v>
      </x:c>
      <x:c r="E29" s="20" t="n">
        <x:f>SUMIF('Mano de obra'!$A$6:$A$89,A29,'Mano de obra'!$H$6:$H$89)</x:f>
        <x:v>6960</x:v>
      </x:c>
      <x:c r="F29" s="20" t="n">
        <x:f>SUMIF(Partidas!$G$6:$G$17,A29,Partidas!$F$6:$F$17)</x:f>
        <x:v>7200</x:v>
      </x:c>
      <x:c r="G29" s="20" t="n">
        <x:f>E29*Supuestos!C22+F29</x:f>
        <x:v>13116</x:v>
      </x:c>
      <x:c r="H29" s="21" t="n">
        <x:f>E29+F29</x:f>
        <x:v>14160</x:v>
      </x:c>
      <x:c r="I29" s="20" t="n">
        <x:f>E29*Supuestos!D22+F29</x:f>
        <x:v>16248</x:v>
      </x:c>
      <x:c r="J29" s="21" t="n">
        <x:f>(G29+4*H29+I29)/6</x:f>
        <x:v>14334</x:v>
      </x:c>
      <x:c r="K29" s="23" t="d">
        <x:v>2026-11-10T12:00:00.000Z</x:v>
      </x:c>
      <x:c r="L29" s="23" t="d">
        <x:v>2026-12-01T12:00:00.000Z</x:v>
      </x:c>
      <x:c r="M29" s="2"/>
      <x:c r="N29" s="2"/>
      <x:c r="O29" s="2"/>
      <x:c r="P29" s="2"/>
      <x:c r="Q29" s="2"/>
      <x:c r="R29" s="2"/>
      <x:c r="S29" s="2"/>
      <x:c r="T29" s="2"/>
    </x:row>
    <x:row r="30" ht="24" customHeight="1">
      <x:c r="A30" s="2" t="str">
        <x:v>4.5</x:v>
      </x:c>
      <x:c r="B30" s="2" t="str">
        <x:v>Materiales y mesa de ayuda N1</x:v>
      </x:c>
      <x:c r="C30" s="8" t="n">
        <x:v>10</x:v>
      </x:c>
      <x:c r="D30" s="2" t="str">
        <x:v>B</x:v>
      </x:c>
      <x:c r="E30" s="20" t="n">
        <x:f>SUMIF('Mano de obra'!$A$6:$A$89,A30,'Mano de obra'!$H$6:$H$89)</x:f>
        <x:v>4640</x:v>
      </x:c>
      <x:c r="F30" s="20" t="n">
        <x:f>SUMIF(Partidas!$G$6:$G$17,A30,Partidas!$F$6:$F$17)</x:f>
        <x:v>0</x:v>
      </x:c>
      <x:c r="G30" s="20" t="n">
        <x:f>E30*Supuestos!C22+F30</x:f>
        <x:v>3944</x:v>
      </x:c>
      <x:c r="H30" s="21" t="n">
        <x:f>E30+F30</x:f>
        <x:v>4640</x:v>
      </x:c>
      <x:c r="I30" s="20" t="n">
        <x:f>E30*Supuestos!D22+F30</x:f>
        <x:v>6032</x:v>
      </x:c>
      <x:c r="J30" s="21" t="n">
        <x:f>(G30+4*H30+I30)/6</x:f>
        <x:v>4756</x:v>
      </x:c>
      <x:c r="K30" s="23" t="d">
        <x:v>2026-12-02T12:00:00.000Z</x:v>
      </x:c>
      <x:c r="L30" s="23" t="d">
        <x:v>2026-12-17T12:00:00.000Z</x:v>
      </x:c>
      <x:c r="M30" s="2"/>
      <x:c r="N30" s="2"/>
      <x:c r="O30" s="2"/>
      <x:c r="P30" s="2"/>
      <x:c r="Q30" s="2"/>
      <x:c r="R30" s="2"/>
      <x:c r="S30" s="2"/>
      <x:c r="T30" s="2"/>
    </x:row>
    <x:row r="31" ht="24" customHeight="1">
      <x:c r="A31" s="2" t="str">
        <x:v>5.1</x:v>
      </x:c>
      <x:c r="B31" s="2" t="str">
        <x:v>Ambientes, migración y despliegue</x:v>
      </x:c>
      <x:c r="C31" s="8" t="n">
        <x:v>12</x:v>
      </x:c>
      <x:c r="D31" s="2" t="str">
        <x:v>B</x:v>
      </x:c>
      <x:c r="E31" s="20" t="n">
        <x:f>SUMIF('Mano de obra'!$A$6:$A$89,A31,'Mano de obra'!$H$6:$H$89)</x:f>
        <x:v>4416.000000000001</x:v>
      </x:c>
      <x:c r="F31" s="20" t="n">
        <x:f>SUMIF(Partidas!$G$6:$G$17,A31,Partidas!$F$6:$F$17)</x:f>
        <x:v>6330</x:v>
      </x:c>
      <x:c r="G31" s="20" t="n">
        <x:f>E31*Supuestos!C22+F31</x:f>
        <x:v>10083.6</x:v>
      </x:c>
      <x:c r="H31" s="21" t="n">
        <x:f>E31+F31</x:f>
        <x:v>10746</x:v>
      </x:c>
      <x:c r="I31" s="20" t="n">
        <x:f>E31*Supuestos!D22+F31</x:f>
        <x:v>12070.800000000001</x:v>
      </x:c>
      <x:c r="J31" s="21" t="n">
        <x:f>(G31+4*H31+I31)/6</x:f>
        <x:v>10856.4</x:v>
      </x:c>
      <x:c r="K31" s="23" t="d">
        <x:v>2026-10-14T12:00:00.000Z</x:v>
      </x:c>
      <x:c r="L31" s="23" t="d">
        <x:v>2026-10-29T12:00:00.000Z</x:v>
      </x:c>
      <x:c r="M31" s="2"/>
      <x:c r="N31" s="2"/>
      <x:c r="O31" s="2"/>
      <x:c r="P31" s="2"/>
      <x:c r="Q31" s="2"/>
      <x:c r="R31" s="2"/>
      <x:c r="S31" s="2"/>
      <x:c r="T31" s="2"/>
    </x:row>
    <x:row r="32" ht="24" customHeight="1">
      <x:c r="A32" s="2" t="str">
        <x:v>5.2</x:v>
      </x:c>
      <x:c r="B32" s="2" t="str">
        <x:v>Piloto y ajustes</x:v>
      </x:c>
      <x:c r="C32" s="8" t="n">
        <x:v>20</x:v>
      </x:c>
      <x:c r="D32" s="2" t="str">
        <x:v>C</x:v>
      </x:c>
      <x:c r="E32" s="20" t="n">
        <x:f>SUMIF('Mano de obra'!$A$6:$A$89,A32,'Mano de obra'!$H$6:$H$89)</x:f>
        <x:v>17680</x:v>
      </x:c>
      <x:c r="F32" s="20" t="n">
        <x:f>SUMIF(Partidas!$G$6:$G$17,A32,Partidas!$F$6:$F$17)</x:f>
        <x:v>0</x:v>
      </x:c>
      <x:c r="G32" s="20" t="n">
        <x:f>E32*Supuestos!C23+F32</x:f>
        <x:v>14144</x:v>
      </x:c>
      <x:c r="H32" s="21" t="n">
        <x:f>E32+F32</x:f>
        <x:v>17680</x:v>
      </x:c>
      <x:c r="I32" s="20" t="n">
        <x:f>E32*Supuestos!D23+F32</x:f>
        <x:v>24752</x:v>
      </x:c>
      <x:c r="J32" s="21" t="n">
        <x:f>(G32+4*H32+I32)/6</x:f>
        <x:v>18269.333333333332</x:v>
      </x:c>
      <x:c r="K32" s="23" t="d">
        <x:v>2026-11-18T12:00:00.000Z</x:v>
      </x:c>
      <x:c r="L32" s="23" t="d">
        <x:v>2026-12-18T12:00:00.000Z</x:v>
      </x:c>
      <x:c r="M32" s="2"/>
      <x:c r="N32" s="2"/>
      <x:c r="O32" s="2"/>
      <x:c r="P32" s="2"/>
      <x:c r="Q32" s="2"/>
      <x:c r="R32" s="2"/>
      <x:c r="S32" s="2"/>
      <x:c r="T32" s="2"/>
    </x:row>
    <x:row r="33" ht="24" customHeight="1">
      <x:c r="A33" s="2" t="str">
        <x:v>5.3</x:v>
      </x:c>
      <x:c r="B33" s="2" t="str">
        <x:v>UAT y acta de aceptación</x:v>
      </x:c>
      <x:c r="C33" s="8" t="n">
        <x:v>4</x:v>
      </x:c>
      <x:c r="D33" s="2" t="str">
        <x:v>C</x:v>
      </x:c>
      <x:c r="E33" s="20" t="n">
        <x:f>SUMIF('Mano de obra'!$A$6:$A$89,A33,'Mano de obra'!$H$6:$H$89)</x:f>
        <x:v>7623</x:v>
      </x:c>
      <x:c r="F33" s="20" t="n">
        <x:f>SUMIF(Partidas!$G$6:$G$17,A33,Partidas!$F$6:$F$17)</x:f>
        <x:v>0</x:v>
      </x:c>
      <x:c r="G33" s="20" t="n">
        <x:f>E33*Supuestos!C23+F33</x:f>
        <x:v>6098.400000000001</x:v>
      </x:c>
      <x:c r="H33" s="21" t="n">
        <x:f>E33+F33</x:f>
        <x:v>7623</x:v>
      </x:c>
      <x:c r="I33" s="20" t="n">
        <x:f>E33*Supuestos!D23+F33</x:f>
        <x:v>10672.199999999999</x:v>
      </x:c>
      <x:c r="J33" s="21" t="n">
        <x:f>(G33+4*H33+I33)/6</x:f>
        <x:v>7877.099999999999</x:v>
      </x:c>
      <x:c r="K33" s="23" t="d">
        <x:v>2027-03-16T12:00:00.000Z</x:v>
      </x:c>
      <x:c r="L33" s="23" t="d">
        <x:v>2027-03-19T12:00:00.000Z</x:v>
      </x:c>
      <x:c r="M33" s="2"/>
      <x:c r="N33" s="2"/>
      <x:c r="O33" s="2"/>
      <x:c r="P33" s="2"/>
      <x:c r="Q33" s="2"/>
      <x:c r="R33" s="2"/>
      <x:c r="S33" s="2"/>
      <x:c r="T33" s="2"/>
    </x:row>
    <x:row r="34" ht="24" customHeight="1">
      <x:c r="A34" s="2" t="str">
        <x:v>5.4</x:v>
      </x:c>
      <x:c r="B34" s="2" t="str">
        <x:v>Go-live y estabilización (4 semanas)</x:v>
      </x:c>
      <x:c r="C34" s="8" t="n">
        <x:v>20</x:v>
      </x:c>
      <x:c r="D34" s="2" t="str">
        <x:v>C</x:v>
      </x:c>
      <x:c r="E34" s="20" t="n">
        <x:f>SUMIF('Mano de obra'!$A$6:$A$89,A34,'Mano de obra'!$H$6:$H$89)</x:f>
        <x:v>30780</x:v>
      </x:c>
      <x:c r="F34" s="20" t="n">
        <x:f>SUMIF(Partidas!$G$6:$G$17,A34,Partidas!$F$6:$F$17)</x:f>
        <x:v>844</x:v>
      </x:c>
      <x:c r="G34" s="20" t="n">
        <x:f>E34*Supuestos!C23+F34</x:f>
        <x:v>25468</x:v>
      </x:c>
      <x:c r="H34" s="21" t="n">
        <x:f>E34+F34</x:f>
        <x:v>31624</x:v>
      </x:c>
      <x:c r="I34" s="20" t="n">
        <x:f>E34*Supuestos!D23+F34</x:f>
        <x:v>43936</x:v>
      </x:c>
      <x:c r="J34" s="21" t="n">
        <x:f>(G34+4*H34+I34)/6</x:f>
        <x:v>32650</x:v>
      </x:c>
      <x:c r="K34" s="23" t="d">
        <x:v>2027-03-31T12:00:00.000Z</x:v>
      </x:c>
      <x:c r="L34" s="23" t="d">
        <x:v>2027-04-28T12:00:00.000Z</x:v>
      </x:c>
      <x:c r="M34" s="2"/>
      <x:c r="N34" s="2"/>
      <x:c r="O34" s="2"/>
      <x:c r="P34" s="2"/>
      <x:c r="Q34" s="2"/>
      <x:c r="R34" s="2"/>
      <x:c r="S34" s="2"/>
      <x:c r="T34" s="2"/>
    </x:row>
    <x:row r="35" ht="24" customHeight="1">
      <x:c r="A35" s="2" t="str">
        <x:v>5.5</x:v>
      </x:c>
      <x:c r="B35" s="2" t="str">
        <x:v>Tablero y transferencia del seguimiento</x:v>
      </x:c>
      <x:c r="C35" s="8" t="n">
        <x:v>10</x:v>
      </x:c>
      <x:c r="D35" s="2" t="str">
        <x:v>B</x:v>
      </x:c>
      <x:c r="E35" s="20" t="n">
        <x:f>SUMIF('Mano de obra'!$A$6:$A$89,A35,'Mano de obra'!$H$6:$H$89)</x:f>
        <x:v>3780</x:v>
      </x:c>
      <x:c r="F35" s="20" t="n">
        <x:f>SUMIF(Partidas!$G$6:$G$17,A35,Partidas!$F$6:$F$17)</x:f>
        <x:v>0</x:v>
      </x:c>
      <x:c r="G35" s="20" t="n">
        <x:f>E35*Supuestos!C22+F35</x:f>
        <x:v>3213</x:v>
      </x:c>
      <x:c r="H35" s="21" t="n">
        <x:f>E35+F35</x:f>
        <x:v>3780</x:v>
      </x:c>
      <x:c r="I35" s="20" t="n">
        <x:f>E35*Supuestos!D22+F35</x:f>
        <x:v>4914</x:v>
      </x:c>
      <x:c r="J35" s="21" t="n">
        <x:f>(G35+4*H35+I35)/6</x:f>
        <x:v>3874.5</x:v>
      </x:c>
      <x:c r="K35" s="23" t="d">
        <x:v>2027-04-19T12:00:00.000Z</x:v>
      </x:c>
      <x:c r="L35" s="23" t="d">
        <x:v>2027-04-30T12:00:00.000Z</x:v>
      </x:c>
      <x:c r="M35" s="2"/>
      <x:c r="N35" s="2"/>
      <x:c r="O35" s="2"/>
      <x:c r="P35" s="2"/>
      <x:c r="Q35" s="2"/>
      <x:c r="R35" s="2"/>
      <x:c r="S35" s="2"/>
      <x:c r="T35" s="2"/>
    </x:row>
    <x:row r="36" ht="24" customHeight="1">
      <x:c r="A36" s="2" t="str">
        <x:v>5.6</x:v>
      </x:c>
      <x:c r="B36" s="2" t="str">
        <x:v>Informe de ocupación y recomendación</x:v>
      </x:c>
      <x:c r="C36" s="8" t="n">
        <x:v>10</x:v>
      </x:c>
      <x:c r="D36" s="2" t="str">
        <x:v>B</x:v>
      </x:c>
      <x:c r="E36" s="20" t="n">
        <x:f>SUMIF('Mano de obra'!$A$6:$A$89,A36,'Mano de obra'!$H$6:$H$89)</x:f>
        <x:v>2690</x:v>
      </x:c>
      <x:c r="F36" s="20" t="n">
        <x:f>SUMIF(Partidas!$G$6:$G$17,A36,Partidas!$F$6:$F$17)</x:f>
        <x:v>0</x:v>
      </x:c>
      <x:c r="G36" s="20" t="n">
        <x:f>E36*Supuestos!C22+F36</x:f>
        <x:v>2286.5</x:v>
      </x:c>
      <x:c r="H36" s="21" t="n">
        <x:f>E36+F36</x:f>
        <x:v>2690</x:v>
      </x:c>
      <x:c r="I36" s="20" t="n">
        <x:f>E36*Supuestos!D22+F36</x:f>
        <x:v>3497</x:v>
      </x:c>
      <x:c r="J36" s="21" t="n">
        <x:f>(G36+4*H36+I36)/6</x:f>
        <x:v>2757.25</x:v>
      </x:c>
      <x:c r="K36" s="23" t="d">
        <x:v>2027-04-19T12:00:00.000Z</x:v>
      </x:c>
      <x:c r="L36" s="23" t="d">
        <x:v>2027-04-30T12:00:00.000Z</x:v>
      </x:c>
      <x:c r="M36" s="2"/>
      <x:c r="N36" s="2"/>
      <x:c r="O36" s="2"/>
      <x:c r="P36" s="2"/>
      <x:c r="Q36" s="2"/>
      <x:c r="R36" s="2"/>
      <x:c r="S36" s="2"/>
      <x:c r="T36" s="2"/>
    </x:row>
    <x:row r="37" ht="24" customHeight="1">
      <x:c r="A37" s="14" t="str">
        <x:v>Total</x:v>
      </x:c>
      <x:c r="B37" s="14"/>
      <x:c r="C37" s="14"/>
      <x:c r="D37" s="14"/>
      <x:c r="E37" s="22" t="n">
        <x:f>SUM(E6:E36)</x:f>
        <x:v>235926</x:v>
      </x:c>
      <x:c r="F37" s="22" t="n">
        <x:f>SUM(F6:F36)</x:f>
        <x:v>136774</x:v>
      </x:c>
      <x:c r="G37" s="22" t="n">
        <x:f>SUM(G6:G36)</x:f>
        <x:v>334037.25</x:v>
      </x:c>
      <x:c r="H37" s="22" t="n">
        <x:f>SUM(H6:H36)</x:f>
        <x:v>372700</x:v>
      </x:c>
      <x:c r="I37" s="22" t="n">
        <x:f>SUM(I6:I36)</x:f>
        <x:v>446020.3</x:v>
      </x:c>
      <x:c r="J37" s="22" t="n">
        <x:f>SUM(J6:J36)</x:f>
        <x:v>378476.2583333333</x:v>
      </x:c>
      <x:c r="K37" s="14"/>
      <x:c r="L37" s="14"/>
      <x:c r="M37" s="2"/>
      <x:c r="N37" s="2"/>
      <x:c r="O37" s="2"/>
      <x:c r="P37" s="2"/>
      <x:c r="Q37" s="2"/>
      <x:c r="R37" s="2"/>
      <x:c r="S37" s="2"/>
      <x:c r="T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</x:row>
    <x:row r="100" ht="24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</x:row>
    <x:row r="101" ht="24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</x:row>
    <x:row r="107" ht="24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</x:row>
    <x:row r="111" ht="24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</x:row>
    <x:row r="112" ht="24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</x:row>
    <x:row r="113" ht="24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</x:row>
    <x:row r="116" ht="24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</x:row>
    <x:row r="117" ht="24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</x:row>
    <x:row r="118" ht="24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</x:row>
    <x:row r="120" ht="24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</x:row>
    <x:row r="121" ht="24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</x:row>
    <x:row r="122" ht="24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</x:row>
    <x:row r="123" ht="24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</x:row>
    <x:row r="124" ht="24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</x:row>
    <x:row r="125" ht="24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</x:row>
    <x:row r="126" ht="24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</x:row>
    <x:row r="127" ht="24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</x:row>
    <x:row r="128" ht="24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</x:row>
    <x:row r="129" ht="24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</x:row>
    <x:row r="130" ht="24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50" hidden="0" customWidth="1"/>
    <x:col min="3" max="3" width="12" hidden="0" customWidth="1"/>
    <x:col min="4" max="4" width="12" hidden="0" customWidth="1"/>
    <x:col min="5" max="5" width="14" hidden="0" customWidth="1"/>
    <x:col min="6" max="6" width="17" hidden="0" customWidth="1"/>
    <x:col min="7" max="7" width="15" hidden="0" customWidth="1"/>
    <x:col min="8" max="8" width="1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Mano de obra por recurso y tarea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N2 corregida. FTE × duración = días-persona. Tarifa del recurso en Supuestos.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2" customHeight="1">
      <x:c r="A5" s="6" t="str">
        <x:v>EDT</x:v>
      </x:c>
      <x:c r="B5" s="6" t="str">
        <x:v>Tarea</x:v>
      </x:c>
      <x:c r="C5" s="6" t="str">
        <x:v>Rol</x:v>
      </x:c>
      <x:c r="D5" s="6" t="str">
        <x:v>FTE</x:v>
      </x:c>
      <x:c r="E5" s="6" t="str">
        <x:v>Duración d</x:v>
      </x:c>
      <x:c r="F5" s="6" t="str">
        <x:v>Días-persona</x:v>
      </x:c>
      <x:c r="G5" s="6" t="str">
        <x:v>USD/día</x:v>
      </x:c>
      <x:c r="H5" s="6" t="str">
        <x:v>Costo USD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4" customHeight="1">
      <x:c r="A6" s="2" t="str">
        <x:v>1.1</x:v>
      </x:c>
      <x:c r="B6" s="2" t="str">
        <x:v>Acta de constitución</x:v>
      </x:c>
      <x:c r="C6" s="2" t="str">
        <x:v>PM</x:v>
      </x:c>
      <x:c r="D6" s="19" t="n">
        <x:v>1</x:v>
      </x:c>
      <x:c r="E6" s="16" t="n">
        <x:f>Tareas!C6</x:f>
        <x:v>2</x:v>
      </x:c>
      <x:c r="F6" s="17" t="n">
        <x:f>D6*E6</x:f>
        <x:v>2</x:v>
      </x:c>
      <x:c r="G6" s="20" t="n">
        <x:f>'Supuestos'!C6</x:f>
        <x:v>520</x:v>
      </x:c>
      <x:c r="H6" s="21" t="n">
        <x:f>F6*G6</x:f>
        <x:v>1040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24" customHeight="1">
      <x:c r="A7" s="2" t="str">
        <x:v>1.2</x:v>
      </x:c>
      <x:c r="B7" s="2" t="str">
        <x:v>Declaración del alcance y EDT</x:v>
      </x:c>
      <x:c r="C7" s="2" t="str">
        <x:v>PM</x:v>
      </x:c>
      <x:c r="D7" s="19" t="n">
        <x:v>0.5</x:v>
      </x:c>
      <x:c r="E7" s="16" t="n">
        <x:f>Tareas!C7</x:f>
        <x:v>6</x:v>
      </x:c>
      <x:c r="F7" s="17" t="n">
        <x:f>D7*E7</x:f>
        <x:v>3</x:v>
      </x:c>
      <x:c r="G7" s="20" t="n">
        <x:f>'Supuestos'!C6</x:f>
        <x:v>520</x:v>
      </x:c>
      <x:c r="H7" s="21" t="n">
        <x:f>F7*G7</x:f>
        <x:v>1560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24" customHeight="1">
      <x:c r="A8" s="2" t="str">
        <x:v>1.2</x:v>
      </x:c>
      <x:c r="B8" s="2" t="str">
        <x:v>Declaración del alcance y EDT</x:v>
      </x:c>
      <x:c r="C8" s="2" t="str">
        <x:v>PO</x:v>
      </x:c>
      <x:c r="D8" s="19" t="n">
        <x:v>0.2</x:v>
      </x:c>
      <x:c r="E8" s="16" t="n">
        <x:f>Tareas!C7</x:f>
        <x:v>6</x:v>
      </x:c>
      <x:c r="F8" s="17" t="n">
        <x:f>D8*E8</x:f>
        <x:v>1.2000000000000002</x:v>
      </x:c>
      <x:c r="G8" s="20" t="n">
        <x:f>'Supuestos'!C7</x:f>
        <x:v>480</x:v>
      </x:c>
      <x:c r="H8" s="21" t="n">
        <x:f>F8*G8</x:f>
        <x:v>576.0000000000001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</x:row>
    <x:row r="9" ht="24" customHeight="1">
      <x:c r="A9" s="2" t="str">
        <x:v>1.3</x:v>
      </x:c>
      <x:c r="B9" s="2" t="str">
        <x:v>Cronograma, presupuesto y línea base</x:v>
      </x:c>
      <x:c r="C9" s="2" t="str">
        <x:v>PM</x:v>
      </x:c>
      <x:c r="D9" s="19" t="n">
        <x:v>0.3</x:v>
      </x:c>
      <x:c r="E9" s="16" t="n">
        <x:f>Tareas!C8</x:f>
        <x:v>6</x:v>
      </x:c>
      <x:c r="F9" s="17" t="n">
        <x:f>D9*E9</x:f>
        <x:v>1.7999999999999998</x:v>
      </x:c>
      <x:c r="G9" s="20" t="n">
        <x:f>'Supuestos'!C6</x:f>
        <x:v>520</x:v>
      </x:c>
      <x:c r="H9" s="21" t="n">
        <x:f>F9*G9</x:f>
        <x:v>935.9999999999999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 ht="24" customHeight="1">
      <x:c r="A10" s="2" t="str">
        <x:v>1.4</x:v>
      </x:c>
      <x:c r="B10" s="2" t="str">
        <x:v>Registro de riesgos e interesados</x:v>
      </x:c>
      <x:c r="C10" s="2" t="str">
        <x:v>PM</x:v>
      </x:c>
      <x:c r="D10" s="19" t="n">
        <x:v>0.2</x:v>
      </x:c>
      <x:c r="E10" s="16" t="n">
        <x:f>Tareas!C9</x:f>
        <x:v>5</x:v>
      </x:c>
      <x:c r="F10" s="17" t="n">
        <x:f>D10*E10</x:f>
        <x:v>1</x:v>
      </x:c>
      <x:c r="G10" s="20" t="n">
        <x:f>'Supuestos'!C6</x:f>
        <x:v>520</x:v>
      </x:c>
      <x:c r="H10" s="21" t="n">
        <x:f>F10*G10</x:f>
        <x:v>520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24" customHeight="1">
      <x:c r="A11" s="2" t="str">
        <x:v>1.4</x:v>
      </x:c>
      <x:c r="B11" s="2" t="str">
        <x:v>Registro de riesgos e interesados</x:v>
      </x:c>
      <x:c r="C11" s="2" t="str">
        <x:v>RH</x:v>
      </x:c>
      <x:c r="D11" s="19" t="n">
        <x:v>0.1</x:v>
      </x:c>
      <x:c r="E11" s="16" t="n">
        <x:f>Tareas!C9</x:f>
        <x:v>5</x:v>
      </x:c>
      <x:c r="F11" s="17" t="n">
        <x:f>D11*E11</x:f>
        <x:v>0.5</x:v>
      </x:c>
      <x:c r="G11" s="20" t="n">
        <x:f>'Supuestos'!C8</x:f>
        <x:v>160</x:v>
      </x:c>
      <x:c r="H11" s="21" t="n">
        <x:f>F11*G11</x:f>
        <x:v>80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24" customHeight="1">
      <x:c r="A12" s="2" t="str">
        <x:v>1.5</x:v>
      </x:c>
      <x:c r="B12" s="2" t="str">
        <x:v>Seguimiento, cambios e informes (tarea resumen)</x:v>
      </x:c>
      <x:c r="C12" s="2" t="str">
        <x:v>PM</x:v>
      </x:c>
      <x:c r="D12" s="19" t="n">
        <x:v>0.5</x:v>
      </x:c>
      <x:c r="E12" s="16" t="n">
        <x:f>Tareas!C10</x:f>
        <x:v>132</x:v>
      </x:c>
      <x:c r="F12" s="17" t="n">
        <x:f>D12*E12</x:f>
        <x:v>66</x:v>
      </x:c>
      <x:c r="G12" s="20" t="n">
        <x:f>'Supuestos'!C6</x:f>
        <x:v>520</x:v>
      </x:c>
      <x:c r="H12" s="21" t="n">
        <x:f>F12*G12</x:f>
        <x:v>34320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24" customHeight="1">
      <x:c r="A13" s="2" t="str">
        <x:v>1.6</x:v>
      </x:c>
      <x:c r="B13" s="2" t="str">
        <x:v>Cierre y lecciones aprendidas</x:v>
      </x:c>
      <x:c r="C13" s="2" t="str">
        <x:v>PM</x:v>
      </x:c>
      <x:c r="D13" s="19" t="n">
        <x:v>0.3</x:v>
      </x:c>
      <x:c r="E13" s="16" t="n">
        <x:f>Tareas!C11</x:f>
        <x:v>5</x:v>
      </x:c>
      <x:c r="F13" s="17" t="n">
        <x:f>D13*E13</x:f>
        <x:v>1.5</x:v>
      </x:c>
      <x:c r="G13" s="20" t="n">
        <x:f>'Supuestos'!C6</x:f>
        <x:v>520</x:v>
      </x:c>
      <x:c r="H13" s="21" t="n">
        <x:f>F13*G13</x:f>
        <x:v>780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24" customHeight="1">
      <x:c r="A14" s="2" t="str">
        <x:v>1.6</x:v>
      </x:c>
      <x:c r="B14" s="2" t="str">
        <x:v>Cierre y lecciones aprendidas</x:v>
      </x:c>
      <x:c r="C14" s="2" t="str">
        <x:v>PO</x:v>
      </x:c>
      <x:c r="D14" s="19" t="n">
        <x:v>0.1</x:v>
      </x:c>
      <x:c r="E14" s="16" t="n">
        <x:f>Tareas!C11</x:f>
        <x:v>5</x:v>
      </x:c>
      <x:c r="F14" s="17" t="n">
        <x:f>D14*E14</x:f>
        <x:v>0.5</x:v>
      </x:c>
      <x:c r="G14" s="20" t="n">
        <x:f>'Supuestos'!C7</x:f>
        <x:v>480</x:v>
      </x:c>
      <x:c r="H14" s="21" t="n">
        <x:f>F14*G14</x:f>
        <x:v>240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24" customHeight="1">
      <x:c r="A15" s="2" t="str">
        <x:v>2.1</x:v>
      </x:c>
      <x:c r="B15" s="2" t="str">
        <x:v>Relevamiento y reglas de negocio</x:v>
      </x:c>
      <x:c r="C15" s="2" t="str">
        <x:v>PO</x:v>
      </x:c>
      <x:c r="D15" s="19" t="n">
        <x:v>1</x:v>
      </x:c>
      <x:c r="E15" s="16" t="n">
        <x:f>Tareas!C12</x:f>
        <x:v>10</x:v>
      </x:c>
      <x:c r="F15" s="17" t="n">
        <x:f>D15*E15</x:f>
        <x:v>10</x:v>
      </x:c>
      <x:c r="G15" s="20" t="n">
        <x:f>'Supuestos'!C7</x:f>
        <x:v>480</x:v>
      </x:c>
      <x:c r="H15" s="21" t="n">
        <x:f>F15*G15</x:f>
        <x:v>4800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24" customHeight="1">
      <x:c r="A16" s="2" t="str">
        <x:v>2.1</x:v>
      </x:c>
      <x:c r="B16" s="2" t="str">
        <x:v>Relevamiento y reglas de negocio</x:v>
      </x:c>
      <x:c r="C16" s="2" t="str">
        <x:v>PM</x:v>
      </x:c>
      <x:c r="D16" s="19" t="n">
        <x:v>0.2</x:v>
      </x:c>
      <x:c r="E16" s="16" t="n">
        <x:f>Tareas!C12</x:f>
        <x:v>10</x:v>
      </x:c>
      <x:c r="F16" s="17" t="n">
        <x:f>D16*E16</x:f>
        <x:v>2</x:v>
      </x:c>
      <x:c r="G16" s="20" t="n">
        <x:f>'Supuestos'!C6</x:f>
        <x:v>520</x:v>
      </x:c>
      <x:c r="H16" s="21" t="n">
        <x:f>F16*G16</x:f>
        <x:v>1040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24" customHeight="1">
      <x:c r="A17" s="2" t="str">
        <x:v>2.1</x:v>
      </x:c>
      <x:c r="B17" s="2" t="str">
        <x:v>Relevamiento y reglas de negocio</x:v>
      </x:c>
      <x:c r="C17" s="2" t="str">
        <x:v>SG</x:v>
      </x:c>
      <x:c r="D17" s="19" t="n">
        <x:v>0.2</x:v>
      </x:c>
      <x:c r="E17" s="16" t="n">
        <x:f>Tareas!C12</x:f>
        <x:v>10</x:v>
      </x:c>
      <x:c r="F17" s="17" t="n">
        <x:f>D17*E17</x:f>
        <x:v>2</x:v>
      </x:c>
      <x:c r="G17" s="20" t="n">
        <x:f>'Supuestos'!C9</x:f>
        <x:v>170</x:v>
      </x:c>
      <x:c r="H17" s="21" t="n">
        <x:f>F17*G17</x:f>
        <x:v>340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 ht="24" customHeight="1">
      <x:c r="A18" s="2" t="str">
        <x:v>2.1</x:v>
      </x:c>
      <x:c r="B18" s="2" t="str">
        <x:v>Relevamiento y reglas de negocio</x:v>
      </x:c>
      <x:c r="C18" s="2" t="str">
        <x:v>RH</x:v>
      </x:c>
      <x:c r="D18" s="19" t="n">
        <x:v>0.1</x:v>
      </x:c>
      <x:c r="E18" s="16" t="n">
        <x:f>Tareas!C12</x:f>
        <x:v>10</x:v>
      </x:c>
      <x:c r="F18" s="17" t="n">
        <x:f>D18*E18</x:f>
        <x:v>1</x:v>
      </x:c>
      <x:c r="G18" s="20" t="n">
        <x:f>'Supuestos'!C8</x:f>
        <x:v>160</x:v>
      </x:c>
      <x:c r="H18" s="21" t="n">
        <x:f>F18*G18</x:f>
        <x:v>160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 ht="24" customHeight="1">
      <x:c r="A19" s="2" t="str">
        <x:v>2.1</x:v>
      </x:c>
      <x:c r="B19" s="2" t="str">
        <x:v>Relevamiento y reglas de negocio</x:v>
      </x:c>
      <x:c r="C19" s="2" t="str">
        <x:v>QA</x:v>
      </x:c>
      <x:c r="D19" s="19" t="n">
        <x:v>0.2</x:v>
      </x:c>
      <x:c r="E19" s="16" t="n">
        <x:f>Tareas!C12</x:f>
        <x:v>10</x:v>
      </x:c>
      <x:c r="F19" s="17" t="n">
        <x:f>D19*E19</x:f>
        <x:v>2</x:v>
      </x:c>
      <x:c r="G19" s="20" t="n">
        <x:f>'Supuestos'!C10</x:f>
        <x:v>360</x:v>
      </x:c>
      <x:c r="H19" s="21" t="n">
        <x:f>F19*G19</x:f>
        <x:v>720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 ht="24" customHeight="1">
      <x:c r="A20" s="2" t="str">
        <x:v>2.2</x:v>
      </x:c>
      <x:c r="B20" s="2" t="str">
        <x:v>Planos e inventario de espacios</x:v>
      </x:c>
      <x:c r="C20" s="2" t="str">
        <x:v>SG</x:v>
      </x:c>
      <x:c r="D20" s="19" t="n">
        <x:v>0.5</x:v>
      </x:c>
      <x:c r="E20" s="16" t="n">
        <x:f>Tareas!C13</x:f>
        <x:v>15</x:v>
      </x:c>
      <x:c r="F20" s="17" t="n">
        <x:f>D20*E20</x:f>
        <x:v>7.5</x:v>
      </x:c>
      <x:c r="G20" s="20" t="n">
        <x:f>'Supuestos'!C9</x:f>
        <x:v>170</x:v>
      </x:c>
      <x:c r="H20" s="21" t="n">
        <x:f>F20*G20</x:f>
        <x:v>1275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 ht="24" customHeight="1">
      <x:c r="A21" s="2" t="str">
        <x:v>2.2</x:v>
      </x:c>
      <x:c r="B21" s="2" t="str">
        <x:v>Planos e inventario de espacios</x:v>
      </x:c>
      <x:c r="C21" s="2" t="str">
        <x:v>OPS</x:v>
      </x:c>
      <x:c r="D21" s="19" t="n">
        <x:v>0.2</x:v>
      </x:c>
      <x:c r="E21" s="16" t="n">
        <x:f>Tareas!C13</x:f>
        <x:v>15</x:v>
      </x:c>
      <x:c r="F21" s="17" t="n">
        <x:f>D21*E21</x:f>
        <x:v>3</x:v>
      </x:c>
      <x:c r="G21" s="20" t="n">
        <x:f>'Supuestos'!C11</x:f>
        <x:v>460</x:v>
      </x:c>
      <x:c r="H21" s="21" t="n">
        <x:f>F21*G21</x:f>
        <x:v>1380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24" customHeight="1">
      <x:c r="A22" s="2" t="str">
        <x:v>2.3</x:v>
      </x:c>
      <x:c r="B22" s="2" t="str">
        <x:v>Módulo de reserva de escritorios</x:v>
      </x:c>
      <x:c r="C22" s="2" t="str">
        <x:v>DEV</x:v>
      </x:c>
      <x:c r="D22" s="19" t="n">
        <x:v>1</x:v>
      </x:c>
      <x:c r="E22" s="16" t="n">
        <x:f>Tareas!C14</x:f>
        <x:v>18</x:v>
      </x:c>
      <x:c r="F22" s="17" t="n">
        <x:f>D22*E22</x:f>
        <x:v>18</x:v>
      </x:c>
      <x:c r="G22" s="20" t="n">
        <x:f>'Supuestos'!C12</x:f>
        <x:v>440</x:v>
      </x:c>
      <x:c r="H22" s="21" t="n">
        <x:f>F22*G22</x:f>
        <x:v>7920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24" customHeight="1">
      <x:c r="A23" s="2" t="str">
        <x:v>2.3</x:v>
      </x:c>
      <x:c r="B23" s="2" t="str">
        <x:v>Módulo de reserva de escritorios</x:v>
      </x:c>
      <x:c r="C23" s="2" t="str">
        <x:v>UX</x:v>
      </x:c>
      <x:c r="D23" s="19" t="n">
        <x:v>0.2</x:v>
      </x:c>
      <x:c r="E23" s="16" t="n">
        <x:f>Tareas!C14</x:f>
        <x:v>18</x:v>
      </x:c>
      <x:c r="F23" s="17" t="n">
        <x:f>D23*E23</x:f>
        <x:v>3.6</x:v>
      </x:c>
      <x:c r="G23" s="20" t="n">
        <x:f>'Supuestos'!C13</x:f>
        <x:v>420</x:v>
      </x:c>
      <x:c r="H23" s="21" t="n">
        <x:f>F23*G23</x:f>
        <x:v>1512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24" customHeight="1">
      <x:c r="A24" s="2" t="str">
        <x:v>2.3</x:v>
      </x:c>
      <x:c r="B24" s="2" t="str">
        <x:v>Módulo de reserva de escritorios</x:v>
      </x:c>
      <x:c r="C24" s="2" t="str">
        <x:v>QA</x:v>
      </x:c>
      <x:c r="D24" s="19" t="n">
        <x:v>0.2</x:v>
      </x:c>
      <x:c r="E24" s="16" t="n">
        <x:f>Tareas!C14</x:f>
        <x:v>18</x:v>
      </x:c>
      <x:c r="F24" s="17" t="n">
        <x:f>D24*E24</x:f>
        <x:v>3.6</x:v>
      </x:c>
      <x:c r="G24" s="20" t="n">
        <x:f>'Supuestos'!C10</x:f>
        <x:v>360</x:v>
      </x:c>
      <x:c r="H24" s="21" t="n">
        <x:f>F24*G24</x:f>
        <x:v>1296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24" customHeight="1">
      <x:c r="A25" s="2" t="str">
        <x:v>2.4</x:v>
      </x:c>
      <x:c r="B25" s="2" t="str">
        <x:v>Módulo de reserva de salas</x:v>
      </x:c>
      <x:c r="C25" s="2" t="str">
        <x:v>DEV</x:v>
      </x:c>
      <x:c r="D25" s="19" t="n">
        <x:v>1</x:v>
      </x:c>
      <x:c r="E25" s="16" t="n">
        <x:f>Tareas!C15</x:f>
        <x:v>15</x:v>
      </x:c>
      <x:c r="F25" s="17" t="n">
        <x:f>D25*E25</x:f>
        <x:v>15</x:v>
      </x:c>
      <x:c r="G25" s="20" t="n">
        <x:f>'Supuestos'!C12</x:f>
        <x:v>440</x:v>
      </x:c>
      <x:c r="H25" s="21" t="n">
        <x:f>F25*G25</x:f>
        <x:v>6600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24" customHeight="1">
      <x:c r="A26" s="2" t="str">
        <x:v>2.4</x:v>
      </x:c>
      <x:c r="B26" s="2" t="str">
        <x:v>Módulo de reserva de salas</x:v>
      </x:c>
      <x:c r="C26" s="2" t="str">
        <x:v>UX</x:v>
      </x:c>
      <x:c r="D26" s="19" t="n">
        <x:v>0.2</x:v>
      </x:c>
      <x:c r="E26" s="16" t="n">
        <x:f>Tareas!C15</x:f>
        <x:v>15</x:v>
      </x:c>
      <x:c r="F26" s="17" t="n">
        <x:f>D26*E26</x:f>
        <x:v>3</x:v>
      </x:c>
      <x:c r="G26" s="20" t="n">
        <x:f>'Supuestos'!C13</x:f>
        <x:v>420</x:v>
      </x:c>
      <x:c r="H26" s="21" t="n">
        <x:f>F26*G26</x:f>
        <x:v>1260</x:v>
      </x:c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24" customHeight="1">
      <x:c r="A27" s="2" t="str">
        <x:v>2.4</x:v>
      </x:c>
      <x:c r="B27" s="2" t="str">
        <x:v>Módulo de reserva de salas</x:v>
      </x:c>
      <x:c r="C27" s="2" t="str">
        <x:v>QA</x:v>
      </x:c>
      <x:c r="D27" s="19" t="n">
        <x:v>0.2</x:v>
      </x:c>
      <x:c r="E27" s="16" t="n">
        <x:f>Tareas!C15</x:f>
        <x:v>15</x:v>
      </x:c>
      <x:c r="F27" s="17" t="n">
        <x:f>D27*E27</x:f>
        <x:v>3</x:v>
      </x:c>
      <x:c r="G27" s="20" t="n">
        <x:f>'Supuestos'!C10</x:f>
        <x:v>360</x:v>
      </x:c>
      <x:c r="H27" s="21" t="n">
        <x:f>F27*G27</x:f>
        <x:v>1080</x:v>
      </x:c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24" customHeight="1">
      <x:c r="A28" s="2" t="str">
        <x:v>2.5</x:v>
      </x:c>
      <x:c r="B28" s="2" t="str">
        <x:v>Check-in, check-out y liberación</x:v>
      </x:c>
      <x:c r="C28" s="2" t="str">
        <x:v>DEV</x:v>
      </x:c>
      <x:c r="D28" s="19" t="n">
        <x:v>1</x:v>
      </x:c>
      <x:c r="E28" s="16" t="n">
        <x:f>Tareas!C16</x:f>
        <x:v>12</x:v>
      </x:c>
      <x:c r="F28" s="17" t="n">
        <x:f>D28*E28</x:f>
        <x:v>12</x:v>
      </x:c>
      <x:c r="G28" s="20" t="n">
        <x:f>'Supuestos'!C12</x:f>
        <x:v>440</x:v>
      </x:c>
      <x:c r="H28" s="21" t="n">
        <x:f>F28*G28</x:f>
        <x:v>5280</x:v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24" customHeight="1">
      <x:c r="A29" s="2" t="str">
        <x:v>2.5</x:v>
      </x:c>
      <x:c r="B29" s="2" t="str">
        <x:v>Check-in, check-out y liberación</x:v>
      </x:c>
      <x:c r="C29" s="2" t="str">
        <x:v>QA</x:v>
      </x:c>
      <x:c r="D29" s="19" t="n">
        <x:v>0.2</x:v>
      </x:c>
      <x:c r="E29" s="16" t="n">
        <x:f>Tareas!C16</x:f>
        <x:v>12</x:v>
      </x:c>
      <x:c r="F29" s="17" t="n">
        <x:f>D29*E29</x:f>
        <x:v>2.4000000000000004</x:v>
      </x:c>
      <x:c r="G29" s="20" t="n">
        <x:f>'Supuestos'!C10</x:f>
        <x:v>360</x:v>
      </x:c>
      <x:c r="H29" s="21" t="n">
        <x:f>F29*G29</x:f>
        <x:v>864.0000000000001</x:v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24" customHeight="1">
      <x:c r="A30" s="2" t="str">
        <x:v>2.6</x:v>
      </x:c>
      <x:c r="B30" s="2" t="str">
        <x:v>Notificaciones y sugerencias</x:v>
      </x:c>
      <x:c r="C30" s="2" t="str">
        <x:v>DEV</x:v>
      </x:c>
      <x:c r="D30" s="19" t="n">
        <x:v>1</x:v>
      </x:c>
      <x:c r="E30" s="16" t="n">
        <x:f>Tareas!C17</x:f>
        <x:v>15</x:v>
      </x:c>
      <x:c r="F30" s="17" t="n">
        <x:f>D30*E30</x:f>
        <x:v>15</x:v>
      </x:c>
      <x:c r="G30" s="20" t="n">
        <x:f>'Supuestos'!C12</x:f>
        <x:v>440</x:v>
      </x:c>
      <x:c r="H30" s="21" t="n">
        <x:f>F30*G30</x:f>
        <x:v>6600</x:v>
      </x:c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24" customHeight="1">
      <x:c r="A31" s="2" t="str">
        <x:v>2.6</x:v>
      </x:c>
      <x:c r="B31" s="2" t="str">
        <x:v>Notificaciones y sugerencias</x:v>
      </x:c>
      <x:c r="C31" s="2" t="str">
        <x:v>PO</x:v>
      </x:c>
      <x:c r="D31" s="19" t="n">
        <x:v>0.2</x:v>
      </x:c>
      <x:c r="E31" s="16" t="n">
        <x:f>Tareas!C17</x:f>
        <x:v>15</x:v>
      </x:c>
      <x:c r="F31" s="17" t="n">
        <x:f>D31*E31</x:f>
        <x:v>3</x:v>
      </x:c>
      <x:c r="G31" s="20" t="n">
        <x:f>'Supuestos'!C7</x:f>
        <x:v>480</x:v>
      </x:c>
      <x:c r="H31" s="21" t="n">
        <x:f>F31*G31</x:f>
        <x:v>1440</x:v>
      </x:c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4" customHeight="1">
      <x:c r="A32" s="2" t="str">
        <x:v>2.6</x:v>
      </x:c>
      <x:c r="B32" s="2" t="str">
        <x:v>Notificaciones y sugerencias</x:v>
      </x:c>
      <x:c r="C32" s="2" t="str">
        <x:v>QA</x:v>
      </x:c>
      <x:c r="D32" s="19" t="n">
        <x:v>0.2</x:v>
      </x:c>
      <x:c r="E32" s="16" t="n">
        <x:f>Tareas!C17</x:f>
        <x:v>15</x:v>
      </x:c>
      <x:c r="F32" s="17" t="n">
        <x:f>D32*E32</x:f>
        <x:v>3</x:v>
      </x:c>
      <x:c r="G32" s="20" t="n">
        <x:f>'Supuestos'!C10</x:f>
        <x:v>360</x:v>
      </x:c>
      <x:c r="H32" s="21" t="n">
        <x:f>F32*G32</x:f>
        <x:v>1080</x:v>
      </x:c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4" customHeight="1">
      <x:c r="A33" s="2" t="str">
        <x:v>2.7</x:v>
      </x:c>
      <x:c r="B33" s="2" t="str">
        <x:v>Diseño UX</x:v>
      </x:c>
      <x:c r="C33" s="2" t="str">
        <x:v>UX</x:v>
      </x:c>
      <x:c r="D33" s="19" t="n">
        <x:v>0.6</x:v>
      </x:c>
      <x:c r="E33" s="16" t="n">
        <x:f>Tareas!C18</x:f>
        <x:v>15</x:v>
      </x:c>
      <x:c r="F33" s="17" t="n">
        <x:f>D33*E33</x:f>
        <x:v>9</x:v>
      </x:c>
      <x:c r="G33" s="20" t="n">
        <x:f>'Supuestos'!C13</x:f>
        <x:v>420</x:v>
      </x:c>
      <x:c r="H33" s="21" t="n">
        <x:f>F33*G33</x:f>
        <x:v>3780</x:v>
      </x:c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4" customHeight="1">
      <x:c r="A34" s="2" t="str">
        <x:v>2.7</x:v>
      </x:c>
      <x:c r="B34" s="2" t="str">
        <x:v>Diseño UX</x:v>
      </x:c>
      <x:c r="C34" s="2" t="str">
        <x:v>PO</x:v>
      </x:c>
      <x:c r="D34" s="19" t="n">
        <x:v>0.2</x:v>
      </x:c>
      <x:c r="E34" s="16" t="n">
        <x:f>Tareas!C18</x:f>
        <x:v>15</x:v>
      </x:c>
      <x:c r="F34" s="17" t="n">
        <x:f>D34*E34</x:f>
        <x:v>3</x:v>
      </x:c>
      <x:c r="G34" s="20" t="n">
        <x:f>'Supuestos'!C7</x:f>
        <x:v>480</x:v>
      </x:c>
      <x:c r="H34" s="21" t="n">
        <x:f>F34*G34</x:f>
        <x:v>1440</x:v>
      </x:c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24" customHeight="1">
      <x:c r="A35" s="2" t="str">
        <x:v>2.8</x:v>
      </x:c>
      <x:c r="B35" s="2" t="str">
        <x:v>Implementación bot de Teams</x:v>
      </x:c>
      <x:c r="C35" s="2" t="str">
        <x:v>DEV</x:v>
      </x:c>
      <x:c r="D35" s="19" t="n">
        <x:v>0.5</x:v>
      </x:c>
      <x:c r="E35" s="16" t="n">
        <x:f>Tareas!C19</x:f>
        <x:v>10</x:v>
      </x:c>
      <x:c r="F35" s="17" t="n">
        <x:f>D35*E35</x:f>
        <x:v>5</x:v>
      </x:c>
      <x:c r="G35" s="20" t="n">
        <x:f>'Supuestos'!C12</x:f>
        <x:v>440</x:v>
      </x:c>
      <x:c r="H35" s="21" t="n">
        <x:f>F35*G35</x:f>
        <x:v>2200</x:v>
      </x:c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4" customHeight="1">
      <x:c r="A36" s="2" t="str">
        <x:v>2.8</x:v>
      </x:c>
      <x:c r="B36" s="2" t="str">
        <x:v>Implementación bot de Teams</x:v>
      </x:c>
      <x:c r="C36" s="2" t="str">
        <x:v>QA</x:v>
      </x:c>
      <x:c r="D36" s="19" t="n">
        <x:v>0.2</x:v>
      </x:c>
      <x:c r="E36" s="16" t="n">
        <x:f>Tareas!C19</x:f>
        <x:v>10</x:v>
      </x:c>
      <x:c r="F36" s="17" t="n">
        <x:f>D36*E36</x:f>
        <x:v>2</x:v>
      </x:c>
      <x:c r="G36" s="20" t="n">
        <x:f>'Supuestos'!C10</x:f>
        <x:v>360</x:v>
      </x:c>
      <x:c r="H36" s="21" t="n">
        <x:f>F36*G36</x:f>
        <x:v>720</x:v>
      </x:c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4" customHeight="1">
      <x:c r="A37" s="2" t="str">
        <x:v>2.9</x:v>
      </x:c>
      <x:c r="B37" s="2" t="str">
        <x:v>Configuración web</x:v>
      </x:c>
      <x:c r="C37" s="2" t="str">
        <x:v>DEV</x:v>
      </x:c>
      <x:c r="D37" s="19" t="n">
        <x:v>1</x:v>
      </x:c>
      <x:c r="E37" s="16" t="n">
        <x:f>Tareas!C20</x:f>
        <x:v>12</x:v>
      </x:c>
      <x:c r="F37" s="17" t="n">
        <x:f>D37*E37</x:f>
        <x:v>12</x:v>
      </x:c>
      <x:c r="G37" s="20" t="n">
        <x:f>'Supuestos'!C12</x:f>
        <x:v>440</x:v>
      </x:c>
      <x:c r="H37" s="21" t="n">
        <x:f>F37*G37</x:f>
        <x:v>5280</x:v>
      </x:c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4" customHeight="1">
      <x:c r="A38" s="2" t="str">
        <x:v>2.9</x:v>
      </x:c>
      <x:c r="B38" s="2" t="str">
        <x:v>Configuración web</x:v>
      </x:c>
      <x:c r="C38" s="2" t="str">
        <x:v>UX</x:v>
      </x:c>
      <x:c r="D38" s="19" t="n">
        <x:v>0.3</x:v>
      </x:c>
      <x:c r="E38" s="16" t="n">
        <x:f>Tareas!C20</x:f>
        <x:v>12</x:v>
      </x:c>
      <x:c r="F38" s="17" t="n">
        <x:f>D38*E38</x:f>
        <x:v>3.5999999999999996</x:v>
      </x:c>
      <x:c r="G38" s="20" t="n">
        <x:f>'Supuestos'!C13</x:f>
        <x:v>420</x:v>
      </x:c>
      <x:c r="H38" s="21" t="n">
        <x:f>F38*G38</x:f>
        <x:v>1511.9999999999998</x:v>
      </x:c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4" customHeight="1">
      <x:c r="A39" s="2" t="str">
        <x:v>2.9</x:v>
      </x:c>
      <x:c r="B39" s="2" t="str">
        <x:v>Configuración web</x:v>
      </x:c>
      <x:c r="C39" s="2" t="str">
        <x:v>QA</x:v>
      </x:c>
      <x:c r="D39" s="19" t="n">
        <x:v>0.2</x:v>
      </x:c>
      <x:c r="E39" s="16" t="n">
        <x:f>Tareas!C20</x:f>
        <x:v>12</x:v>
      </x:c>
      <x:c r="F39" s="17" t="n">
        <x:f>D39*E39</x:f>
        <x:v>2.4000000000000004</x:v>
      </x:c>
      <x:c r="G39" s="20" t="n">
        <x:f>'Supuestos'!C10</x:f>
        <x:v>360</x:v>
      </x:c>
      <x:c r="H39" s="21" t="n">
        <x:f>F39*G39</x:f>
        <x:v>864.0000000000001</x:v>
      </x:c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4" customHeight="1">
      <x:c r="A40" s="2" t="str">
        <x:v>3.1</x:v>
      </x:c>
      <x:c r="B40" s="2" t="str">
        <x:v>SSO y SCIM con Entra ID</x:v>
      </x:c>
      <x:c r="C40" s="2" t="str">
        <x:v>INT</x:v>
      </x:c>
      <x:c r="D40" s="19" t="n">
        <x:v>2</x:v>
      </x:c>
      <x:c r="E40" s="16" t="n">
        <x:f>Tareas!C21</x:f>
        <x:v>12</x:v>
      </x:c>
      <x:c r="F40" s="17" t="n">
        <x:f>D40*E40</x:f>
        <x:v>24</x:v>
      </x:c>
      <x:c r="G40" s="20" t="n">
        <x:f>'Supuestos'!C14</x:f>
        <x:v>480</x:v>
      </x:c>
      <x:c r="H40" s="21" t="n">
        <x:f>F40*G40</x:f>
        <x:v>11520</x:v>
      </x:c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4" customHeight="1">
      <x:c r="A41" s="2" t="str">
        <x:v>3.1</x:v>
      </x:c>
      <x:c r="B41" s="2" t="str">
        <x:v>SSO y SCIM con Entra ID</x:v>
      </x:c>
      <x:c r="C41" s="2" t="str">
        <x:v>TEC</x:v>
      </x:c>
      <x:c r="D41" s="19" t="n">
        <x:v>0.5</x:v>
      </x:c>
      <x:c r="E41" s="16" t="n">
        <x:f>Tareas!C21</x:f>
        <x:v>12</x:v>
      </x:c>
      <x:c r="F41" s="17" t="n">
        <x:f>D41*E41</x:f>
        <x:v>6</x:v>
      </x:c>
      <x:c r="G41" s="20" t="n">
        <x:f>'Supuestos'!C15</x:f>
        <x:v>190</x:v>
      </x:c>
      <x:c r="H41" s="21" t="n">
        <x:f>F41*G41</x:f>
        <x:v>1140</x:v>
      </x:c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4" customHeight="1">
      <x:c r="A42" s="2" t="str">
        <x:v>3.2</x:v>
      </x:c>
      <x:c r="B42" s="2" t="str">
        <x:v>Sincronización con HRIS</x:v>
      </x:c>
      <x:c r="C42" s="2" t="str">
        <x:v>INT</x:v>
      </x:c>
      <x:c r="D42" s="19" t="n">
        <x:v>1</x:v>
      </x:c>
      <x:c r="E42" s="16" t="n">
        <x:f>Tareas!C22</x:f>
        <x:v>10</x:v>
      </x:c>
      <x:c r="F42" s="17" t="n">
        <x:f>D42*E42</x:f>
        <x:v>10</x:v>
      </x:c>
      <x:c r="G42" s="20" t="n">
        <x:f>'Supuestos'!C14</x:f>
        <x:v>480</x:v>
      </x:c>
      <x:c r="H42" s="21" t="n">
        <x:f>F42*G42</x:f>
        <x:v>4800</x:v>
      </x:c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 ht="24" customHeight="1">
      <x:c r="A43" s="2" t="str">
        <x:v>3.2</x:v>
      </x:c>
      <x:c r="B43" s="2" t="str">
        <x:v>Sincronización con HRIS</x:v>
      </x:c>
      <x:c r="C43" s="2" t="str">
        <x:v>TEC</x:v>
      </x:c>
      <x:c r="D43" s="19" t="n">
        <x:v>0.3</x:v>
      </x:c>
      <x:c r="E43" s="16" t="n">
        <x:f>Tareas!C22</x:f>
        <x:v>10</x:v>
      </x:c>
      <x:c r="F43" s="17" t="n">
        <x:f>D43*E43</x:f>
        <x:v>3</x:v>
      </x:c>
      <x:c r="G43" s="20" t="n">
        <x:f>'Supuestos'!C15</x:f>
        <x:v>190</x:v>
      </x:c>
      <x:c r="H43" s="21" t="n">
        <x:f>F43*G43</x:f>
        <x:v>570</x:v>
      </x:c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 ht="24" customHeight="1">
      <x:c r="A44" s="2" t="str">
        <x:v>3.3</x:v>
      </x:c>
      <x:c r="B44" s="2" t="str">
        <x:v>Exchange, Outlook y Teams</x:v>
      </x:c>
      <x:c r="C44" s="2" t="str">
        <x:v>INT</x:v>
      </x:c>
      <x:c r="D44" s="19" t="n">
        <x:v>1</x:v>
      </x:c>
      <x:c r="E44" s="16" t="n">
        <x:f>Tareas!C23</x:f>
        <x:v>10</x:v>
      </x:c>
      <x:c r="F44" s="17" t="n">
        <x:f>D44*E44</x:f>
        <x:v>10</x:v>
      </x:c>
      <x:c r="G44" s="20" t="n">
        <x:f>'Supuestos'!C14</x:f>
        <x:v>480</x:v>
      </x:c>
      <x:c r="H44" s="21" t="n">
        <x:f>F44*G44</x:f>
        <x:v>4800</x:v>
      </x:c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 ht="24" customHeight="1">
      <x:c r="A45" s="2" t="str">
        <x:v>3.3</x:v>
      </x:c>
      <x:c r="B45" s="2" t="str">
        <x:v>Exchange, Outlook y Teams</x:v>
      </x:c>
      <x:c r="C45" s="2" t="str">
        <x:v>TEC</x:v>
      </x:c>
      <x:c r="D45" s="19" t="n">
        <x:v>0.2</x:v>
      </x:c>
      <x:c r="E45" s="16" t="n">
        <x:f>Tareas!C23</x:f>
        <x:v>10</x:v>
      </x:c>
      <x:c r="F45" s="17" t="n">
        <x:f>D45*E45</x:f>
        <x:v>2</x:v>
      </x:c>
      <x:c r="G45" s="20" t="n">
        <x:f>'Supuestos'!C15</x:f>
        <x:v>190</x:v>
      </x:c>
      <x:c r="H45" s="21" t="n">
        <x:f>F45*G45</x:f>
        <x:v>380</x:v>
      </x:c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  <x:row r="46" ht="24" customHeight="1">
      <x:c r="A46" s="2" t="str">
        <x:v>3.4</x:v>
      </x:c>
      <x:c r="B46" s="2" t="str">
        <x:v>Seguridad y endurecimiento</x:v>
      </x:c>
      <x:c r="C46" s="2" t="str">
        <x:v>QA</x:v>
      </x:c>
      <x:c r="D46" s="19" t="n">
        <x:v>0.3</x:v>
      </x:c>
      <x:c r="E46" s="16" t="n">
        <x:f>Tareas!C24</x:f>
        <x:v>15</x:v>
      </x:c>
      <x:c r="F46" s="17" t="n">
        <x:f>D46*E46</x:f>
        <x:v>4.5</x:v>
      </x:c>
      <x:c r="G46" s="20" t="n">
        <x:f>'Supuestos'!C10</x:f>
        <x:v>360</x:v>
      </x:c>
      <x:c r="H46" s="21" t="n">
        <x:f>F46*G46</x:f>
        <x:v>1620</x:v>
      </x:c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</x:row>
    <x:row r="47" ht="24" customHeight="1">
      <x:c r="A47" s="2" t="str">
        <x:v>3.4</x:v>
      </x:c>
      <x:c r="B47" s="2" t="str">
        <x:v>Seguridad y endurecimiento</x:v>
      </x:c>
      <x:c r="C47" s="2" t="str">
        <x:v>INT</x:v>
      </x:c>
      <x:c r="D47" s="19" t="n">
        <x:v>1</x:v>
      </x:c>
      <x:c r="E47" s="16" t="n">
        <x:f>Tareas!C24</x:f>
        <x:v>15</x:v>
      </x:c>
      <x:c r="F47" s="17" t="n">
        <x:f>D47*E47</x:f>
        <x:v>15</x:v>
      </x:c>
      <x:c r="G47" s="20" t="n">
        <x:f>'Supuestos'!C14</x:f>
        <x:v>480</x:v>
      </x:c>
      <x:c r="H47" s="21" t="n">
        <x:f>F47*G47</x:f>
        <x:v>7200</x:v>
      </x:c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</x:row>
    <x:row r="48" ht="24" customHeight="1">
      <x:c r="A48" s="2" t="str">
        <x:v>3.5</x:v>
      </x:c>
      <x:c r="B48" s="2" t="str">
        <x:v>Pruebas de integración y carga</x:v>
      </x:c>
      <x:c r="C48" s="2" t="str">
        <x:v>QA</x:v>
      </x:c>
      <x:c r="D48" s="19" t="n">
        <x:v>0.6</x:v>
      </x:c>
      <x:c r="E48" s="16" t="n">
        <x:f>Tareas!C25</x:f>
        <x:v>12</x:v>
      </x:c>
      <x:c r="F48" s="17" t="n">
        <x:f>D48*E48</x:f>
        <x:v>7.199999999999999</x:v>
      </x:c>
      <x:c r="G48" s="20" t="n">
        <x:f>'Supuestos'!C10</x:f>
        <x:v>360</x:v>
      </x:c>
      <x:c r="H48" s="21" t="n">
        <x:f>F48*G48</x:f>
        <x:v>2591.9999999999995</x:v>
      </x:c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 ht="24" customHeight="1">
      <x:c r="A49" s="2" t="str">
        <x:v>3.5</x:v>
      </x:c>
      <x:c r="B49" s="2" t="str">
        <x:v>Pruebas de integración y carga</x:v>
      </x:c>
      <x:c r="C49" s="2" t="str">
        <x:v>INT</x:v>
      </x:c>
      <x:c r="D49" s="19" t="n">
        <x:v>1</x:v>
      </x:c>
      <x:c r="E49" s="16" t="n">
        <x:f>Tareas!C25</x:f>
        <x:v>12</x:v>
      </x:c>
      <x:c r="F49" s="17" t="n">
        <x:f>D49*E49</x:f>
        <x:v>12</x:v>
      </x:c>
      <x:c r="G49" s="20" t="n">
        <x:f>'Supuestos'!C14</x:f>
        <x:v>480</x:v>
      </x:c>
      <x:c r="H49" s="21" t="n">
        <x:f>F49*G49</x:f>
        <x:v>5760</x:v>
      </x:c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t="24" customHeight="1">
      <x:c r="A50" s="2" t="str">
        <x:v>4.1</x:v>
      </x:c>
      <x:c r="B50" s="2" t="str">
        <x:v>Impacto e interesados con RR.HH.</x:v>
      </x:c>
      <x:c r="C50" s="2" t="str">
        <x:v>CAM</x:v>
      </x:c>
      <x:c r="D50" s="19" t="n">
        <x:v>1</x:v>
      </x:c>
      <x:c r="E50" s="16" t="n">
        <x:f>Tareas!C26</x:f>
        <x:v>10</x:v>
      </x:c>
      <x:c r="F50" s="17" t="n">
        <x:f>D50*E50</x:f>
        <x:v>10</x:v>
      </x:c>
      <x:c r="G50" s="20" t="n">
        <x:f>'Supuestos'!C16</x:f>
        <x:v>400</x:v>
      </x:c>
      <x:c r="H50" s="21" t="n">
        <x:f>F50*G50</x:f>
        <x:v>4000</x:v>
      </x:c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 ht="24" customHeight="1">
      <x:c r="A51" s="2" t="str">
        <x:v>4.1</x:v>
      </x:c>
      <x:c r="B51" s="2" t="str">
        <x:v>Impacto e interesados con RR.HH.</x:v>
      </x:c>
      <x:c r="C51" s="2" t="str">
        <x:v>RH</x:v>
      </x:c>
      <x:c r="D51" s="19" t="n">
        <x:v>0.4</x:v>
      </x:c>
      <x:c r="E51" s="16" t="n">
        <x:f>Tareas!C26</x:f>
        <x:v>10</x:v>
      </x:c>
      <x:c r="F51" s="17" t="n">
        <x:f>D51*E51</x:f>
        <x:v>4</x:v>
      </x:c>
      <x:c r="G51" s="20" t="n">
        <x:f>'Supuestos'!C8</x:f>
        <x:v>160</x:v>
      </x:c>
      <x:c r="H51" s="21" t="n">
        <x:f>F51*G51</x:f>
        <x:v>640</x:v>
      </x:c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  <x:row r="52" ht="24" customHeight="1">
      <x:c r="A52" s="2" t="str">
        <x:v>4.2</x:v>
      </x:c>
      <x:c r="B52" s="2" t="str">
        <x:v>Política de trabajo flexible</x:v>
      </x:c>
      <x:c r="C52" s="2" t="str">
        <x:v>CAM</x:v>
      </x:c>
      <x:c r="D52" s="19" t="n">
        <x:v>1</x:v>
      </x:c>
      <x:c r="E52" s="16" t="n">
        <x:f>Tareas!C27</x:f>
        <x:v>10</x:v>
      </x:c>
      <x:c r="F52" s="17" t="n">
        <x:f>D52*E52</x:f>
        <x:v>10</x:v>
      </x:c>
      <x:c r="G52" s="20" t="n">
        <x:f>'Supuestos'!C16</x:f>
        <x:v>400</x:v>
      </x:c>
      <x:c r="H52" s="21" t="n">
        <x:f>F52*G52</x:f>
        <x:v>4000</x:v>
      </x:c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</x:row>
    <x:row r="53" ht="24" customHeight="1">
      <x:c r="A53" s="2" t="str">
        <x:v>4.2</x:v>
      </x:c>
      <x:c r="B53" s="2" t="str">
        <x:v>Política de trabajo flexible</x:v>
      </x:c>
      <x:c r="C53" s="2" t="str">
        <x:v>RH</x:v>
      </x:c>
      <x:c r="D53" s="19" t="n">
        <x:v>0.4</x:v>
      </x:c>
      <x:c r="E53" s="16" t="n">
        <x:f>Tareas!C27</x:f>
        <x:v>10</x:v>
      </x:c>
      <x:c r="F53" s="17" t="n">
        <x:f>D53*E53</x:f>
        <x:v>4</x:v>
      </x:c>
      <x:c r="G53" s="20" t="n">
        <x:f>'Supuestos'!C8</x:f>
        <x:v>160</x:v>
      </x:c>
      <x:c r="H53" s="21" t="n">
        <x:f>F53*G53</x:f>
        <x:v>640</x:v>
      </x:c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</x:row>
    <x:row r="54" ht="24" customHeight="1">
      <x:c r="A54" s="2" t="str">
        <x:v>4.3</x:v>
      </x:c>
      <x:c r="B54" s="2" t="str">
        <x:v>Comunicación y lanzamiento</x:v>
      </x:c>
      <x:c r="C54" s="2" t="str">
        <x:v>CAM</x:v>
      </x:c>
      <x:c r="D54" s="19" t="n">
        <x:v>1</x:v>
      </x:c>
      <x:c r="E54" s="16" t="n">
        <x:f>Tareas!C28</x:f>
        <x:v>15</x:v>
      </x:c>
      <x:c r="F54" s="17" t="n">
        <x:f>D54*E54</x:f>
        <x:v>15</x:v>
      </x:c>
      <x:c r="G54" s="20" t="n">
        <x:f>'Supuestos'!C16</x:f>
        <x:v>400</x:v>
      </x:c>
      <x:c r="H54" s="21" t="n">
        <x:f>F54*G54</x:f>
        <x:v>6000</x:v>
      </x:c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</x:row>
    <x:row r="55" ht="24" customHeight="1">
      <x:c r="A55" s="2" t="str">
        <x:v>4.3</x:v>
      </x:c>
      <x:c r="B55" s="2" t="str">
        <x:v>Comunicación y lanzamiento</x:v>
      </x:c>
      <x:c r="C55" s="2" t="str">
        <x:v>RH</x:v>
      </x:c>
      <x:c r="D55" s="19" t="n">
        <x:v>0.5</x:v>
      </x:c>
      <x:c r="E55" s="16" t="n">
        <x:f>Tareas!C28</x:f>
        <x:v>15</x:v>
      </x:c>
      <x:c r="F55" s="17" t="n">
        <x:f>D55*E55</x:f>
        <x:v>7.5</x:v>
      </x:c>
      <x:c r="G55" s="20" t="n">
        <x:f>'Supuestos'!C8</x:f>
        <x:v>160</x:v>
      </x:c>
      <x:c r="H55" s="21" t="n">
        <x:f>F55*G55</x:f>
        <x:v>1200</x:v>
      </x:c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</x:row>
    <x:row r="56" ht="24" customHeight="1">
      <x:c r="A56" s="2" t="str">
        <x:v>4.4</x:v>
      </x:c>
      <x:c r="B56" s="2" t="str">
        <x:v>Referentes y capacitación</x:v>
      </x:c>
      <x:c r="C56" s="2" t="str">
        <x:v>CAM</x:v>
      </x:c>
      <x:c r="D56" s="19" t="n">
        <x:v>1</x:v>
      </x:c>
      <x:c r="E56" s="16" t="n">
        <x:f>Tareas!C29</x:f>
        <x:v>15</x:v>
      </x:c>
      <x:c r="F56" s="17" t="n">
        <x:f>D56*E56</x:f>
        <x:v>15</x:v>
      </x:c>
      <x:c r="G56" s="20" t="n">
        <x:f>'Supuestos'!C16</x:f>
        <x:v>400</x:v>
      </x:c>
      <x:c r="H56" s="21" t="n">
        <x:f>F56*G56</x:f>
        <x:v>6000</x:v>
      </x:c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</x:row>
    <x:row r="57" ht="24" customHeight="1">
      <x:c r="A57" s="2" t="str">
        <x:v>4.4</x:v>
      </x:c>
      <x:c r="B57" s="2" t="str">
        <x:v>Referentes y capacitación</x:v>
      </x:c>
      <x:c r="C57" s="2" t="str">
        <x:v>RH</x:v>
      </x:c>
      <x:c r="D57" s="19" t="n">
        <x:v>0.4</x:v>
      </x:c>
      <x:c r="E57" s="16" t="n">
        <x:f>Tareas!C29</x:f>
        <x:v>15</x:v>
      </x:c>
      <x:c r="F57" s="17" t="n">
        <x:f>D57*E57</x:f>
        <x:v>6</x:v>
      </x:c>
      <x:c r="G57" s="20" t="n">
        <x:f>'Supuestos'!C8</x:f>
        <x:v>160</x:v>
      </x:c>
      <x:c r="H57" s="21" t="n">
        <x:f>F57*G57</x:f>
        <x:v>960</x:v>
      </x:c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</x:row>
    <x:row r="58" ht="24" customHeight="1">
      <x:c r="A58" s="2" t="str">
        <x:v>4.5</x:v>
      </x:c>
      <x:c r="B58" s="2" t="str">
        <x:v>Materiales y mesa de ayuda N1</x:v>
      </x:c>
      <x:c r="C58" s="2" t="str">
        <x:v>CAM</x:v>
      </x:c>
      <x:c r="D58" s="19" t="n">
        <x:v>1</x:v>
      </x:c>
      <x:c r="E58" s="16" t="n">
        <x:f>Tareas!C30</x:f>
        <x:v>10</x:v>
      </x:c>
      <x:c r="F58" s="17" t="n">
        <x:f>D58*E58</x:f>
        <x:v>10</x:v>
      </x:c>
      <x:c r="G58" s="20" t="n">
        <x:f>'Supuestos'!C16</x:f>
        <x:v>400</x:v>
      </x:c>
      <x:c r="H58" s="21" t="n">
        <x:f>F58*G58</x:f>
        <x:v>4000</x:v>
      </x:c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</x:row>
    <x:row r="59" ht="24" customHeight="1">
      <x:c r="A59" s="2" t="str">
        <x:v>4.5</x:v>
      </x:c>
      <x:c r="B59" s="2" t="str">
        <x:v>Materiales y mesa de ayuda N1</x:v>
      </x:c>
      <x:c r="C59" s="2" t="str">
        <x:v>RH</x:v>
      </x:c>
      <x:c r="D59" s="19" t="n">
        <x:v>0.4</x:v>
      </x:c>
      <x:c r="E59" s="16" t="n">
        <x:f>Tareas!C30</x:f>
        <x:v>10</x:v>
      </x:c>
      <x:c r="F59" s="17" t="n">
        <x:f>D59*E59</x:f>
        <x:v>4</x:v>
      </x:c>
      <x:c r="G59" s="20" t="n">
        <x:f>'Supuestos'!C8</x:f>
        <x:v>160</x:v>
      </x:c>
      <x:c r="H59" s="21" t="n">
        <x:f>F59*G59</x:f>
        <x:v>640</x:v>
      </x:c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</x:row>
    <x:row r="60" ht="24" customHeight="1">
      <x:c r="A60" s="2" t="str">
        <x:v>5.1</x:v>
      </x:c>
      <x:c r="B60" s="2" t="str">
        <x:v>Ambientes, migración y despliegue</x:v>
      </x:c>
      <x:c r="C60" s="2" t="str">
        <x:v>OPS</x:v>
      </x:c>
      <x:c r="D60" s="19" t="n">
        <x:v>0.8</x:v>
      </x:c>
      <x:c r="E60" s="16" t="n">
        <x:f>Tareas!C31</x:f>
        <x:v>12</x:v>
      </x:c>
      <x:c r="F60" s="17" t="n">
        <x:f>D60*E60</x:f>
        <x:v>9.600000000000001</x:v>
      </x:c>
      <x:c r="G60" s="20" t="n">
        <x:f>'Supuestos'!C11</x:f>
        <x:v>460</x:v>
      </x:c>
      <x:c r="H60" s="21" t="n">
        <x:f>F60*G60</x:f>
        <x:v>4416.000000000001</x:v>
      </x:c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</x:row>
    <x:row r="61" ht="24" customHeight="1">
      <x:c r="A61" s="2" t="str">
        <x:v>5.2</x:v>
      </x:c>
      <x:c r="B61" s="2" t="str">
        <x:v>Piloto y ajustes</x:v>
      </x:c>
      <x:c r="C61" s="2" t="str">
        <x:v>PM</x:v>
      </x:c>
      <x:c r="D61" s="19" t="n">
        <x:v>0.2</x:v>
      </x:c>
      <x:c r="E61" s="16" t="n">
        <x:f>Tareas!C32</x:f>
        <x:v>20</x:v>
      </x:c>
      <x:c r="F61" s="17" t="n">
        <x:f>D61*E61</x:f>
        <x:v>4</x:v>
      </x:c>
      <x:c r="G61" s="20" t="n">
        <x:f>'Supuestos'!C6</x:f>
        <x:v>520</x:v>
      </x:c>
      <x:c r="H61" s="21" t="n">
        <x:f>F61*G61</x:f>
        <x:v>2080</x:v>
      </x:c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</x:row>
    <x:row r="62" ht="24" customHeight="1">
      <x:c r="A62" s="2" t="str">
        <x:v>5.2</x:v>
      </x:c>
      <x:c r="B62" s="2" t="str">
        <x:v>Piloto y ajustes</x:v>
      </x:c>
      <x:c r="C62" s="2" t="str">
        <x:v>PO</x:v>
      </x:c>
      <x:c r="D62" s="19" t="n">
        <x:v>0.5</x:v>
      </x:c>
      <x:c r="E62" s="16" t="n">
        <x:f>Tareas!C32</x:f>
        <x:v>20</x:v>
      </x:c>
      <x:c r="F62" s="17" t="n">
        <x:f>D62*E62</x:f>
        <x:v>10</x:v>
      </x:c>
      <x:c r="G62" s="20" t="n">
        <x:f>'Supuestos'!C7</x:f>
        <x:v>480</x:v>
      </x:c>
      <x:c r="H62" s="21" t="n">
        <x:f>F62*G62</x:f>
        <x:v>4800</x:v>
      </x:c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</x:row>
    <x:row r="63" ht="24" customHeight="1">
      <x:c r="A63" s="2" t="str">
        <x:v>5.2</x:v>
      </x:c>
      <x:c r="B63" s="2" t="str">
        <x:v>Piloto y ajustes</x:v>
      </x:c>
      <x:c r="C63" s="2" t="str">
        <x:v>DEV</x:v>
      </x:c>
      <x:c r="D63" s="19" t="n">
        <x:v>0.5</x:v>
      </x:c>
      <x:c r="E63" s="16" t="n">
        <x:f>Tareas!C32</x:f>
        <x:v>20</x:v>
      </x:c>
      <x:c r="F63" s="17" t="n">
        <x:f>D63*E63</x:f>
        <x:v>10</x:v>
      </x:c>
      <x:c r="G63" s="20" t="n">
        <x:f>'Supuestos'!C12</x:f>
        <x:v>440</x:v>
      </x:c>
      <x:c r="H63" s="21" t="n">
        <x:f>F63*G63</x:f>
        <x:v>4400</x:v>
      </x:c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</x:row>
    <x:row r="64" ht="24" customHeight="1">
      <x:c r="A64" s="2" t="str">
        <x:v>5.2</x:v>
      </x:c>
      <x:c r="B64" s="2" t="str">
        <x:v>Piloto y ajustes</x:v>
      </x:c>
      <x:c r="C64" s="2" t="str">
        <x:v>QA</x:v>
      </x:c>
      <x:c r="D64" s="19" t="n">
        <x:v>0.3</x:v>
      </x:c>
      <x:c r="E64" s="16" t="n">
        <x:f>Tareas!C32</x:f>
        <x:v>20</x:v>
      </x:c>
      <x:c r="F64" s="17" t="n">
        <x:f>D64*E64</x:f>
        <x:v>6</x:v>
      </x:c>
      <x:c r="G64" s="20" t="n">
        <x:f>'Supuestos'!C10</x:f>
        <x:v>360</x:v>
      </x:c>
      <x:c r="H64" s="21" t="n">
        <x:f>F64*G64</x:f>
        <x:v>2160</x:v>
      </x:c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</x:row>
    <x:row r="65" ht="24" customHeight="1">
      <x:c r="A65" s="2" t="str">
        <x:v>5.2</x:v>
      </x:c>
      <x:c r="B65" s="2" t="str">
        <x:v>Piloto y ajustes</x:v>
      </x:c>
      <x:c r="C65" s="2" t="str">
        <x:v>UX</x:v>
      </x:c>
      <x:c r="D65" s="19" t="n">
        <x:v>0.25</x:v>
      </x:c>
      <x:c r="E65" s="16" t="n">
        <x:f>Tareas!C32</x:f>
        <x:v>20</x:v>
      </x:c>
      <x:c r="F65" s="17" t="n">
        <x:f>D65*E65</x:f>
        <x:v>5</x:v>
      </x:c>
      <x:c r="G65" s="20" t="n">
        <x:f>'Supuestos'!C13</x:f>
        <x:v>420</x:v>
      </x:c>
      <x:c r="H65" s="21" t="n">
        <x:f>F65*G65</x:f>
        <x:v>2100</x:v>
      </x:c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</x:row>
    <x:row r="66" ht="24" customHeight="1">
      <x:c r="A66" s="2" t="str">
        <x:v>5.2</x:v>
      </x:c>
      <x:c r="B66" s="2" t="str">
        <x:v>Piloto y ajustes</x:v>
      </x:c>
      <x:c r="C66" s="2" t="str">
        <x:v>TEC</x:v>
      </x:c>
      <x:c r="D66" s="19" t="n">
        <x:v>0.3</x:v>
      </x:c>
      <x:c r="E66" s="16" t="n">
        <x:f>Tareas!C32</x:f>
        <x:v>20</x:v>
      </x:c>
      <x:c r="F66" s="17" t="n">
        <x:f>D66*E66</x:f>
        <x:v>6</x:v>
      </x:c>
      <x:c r="G66" s="20" t="n">
        <x:f>'Supuestos'!C15</x:f>
        <x:v>190</x:v>
      </x:c>
      <x:c r="H66" s="21" t="n">
        <x:f>F66*G66</x:f>
        <x:v>1140</x:v>
      </x:c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</x:row>
    <x:row r="67" ht="24" customHeight="1">
      <x:c r="A67" s="2" t="str">
        <x:v>5.2</x:v>
      </x:c>
      <x:c r="B67" s="2" t="str">
        <x:v>Piloto y ajustes</x:v>
      </x:c>
      <x:c r="C67" s="2" t="str">
        <x:v>RH</x:v>
      </x:c>
      <x:c r="D67" s="19" t="n">
        <x:v>0.1</x:v>
      </x:c>
      <x:c r="E67" s="16" t="n">
        <x:f>Tareas!C32</x:f>
        <x:v>20</x:v>
      </x:c>
      <x:c r="F67" s="17" t="n">
        <x:f>D67*E67</x:f>
        <x:v>2</x:v>
      </x:c>
      <x:c r="G67" s="20" t="n">
        <x:f>'Supuestos'!C8</x:f>
        <x:v>160</x:v>
      </x:c>
      <x:c r="H67" s="21" t="n">
        <x:f>F67*G67</x:f>
        <x:v>320</x:v>
      </x:c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</x:row>
    <x:row r="68" ht="24" customHeight="1">
      <x:c r="A68" s="2" t="str">
        <x:v>5.2</x:v>
      </x:c>
      <x:c r="B68" s="2" t="str">
        <x:v>Piloto y ajustes</x:v>
      </x:c>
      <x:c r="C68" s="2" t="str">
        <x:v>SG</x:v>
      </x:c>
      <x:c r="D68" s="19" t="n">
        <x:v>0.2</x:v>
      </x:c>
      <x:c r="E68" s="16" t="n">
        <x:f>Tareas!C32</x:f>
        <x:v>20</x:v>
      </x:c>
      <x:c r="F68" s="17" t="n">
        <x:f>D68*E68</x:f>
        <x:v>4</x:v>
      </x:c>
      <x:c r="G68" s="20" t="n">
        <x:f>'Supuestos'!C9</x:f>
        <x:v>170</x:v>
      </x:c>
      <x:c r="H68" s="21" t="n">
        <x:f>F68*G68</x:f>
        <x:v>680</x:v>
      </x:c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</x:row>
    <x:row r="69" ht="24" customHeight="1">
      <x:c r="A69" s="2" t="str">
        <x:v>5.3</x:v>
      </x:c>
      <x:c r="B69" s="2" t="str">
        <x:v>UAT y acta de aceptación</x:v>
      </x:c>
      <x:c r="C69" s="2" t="str">
        <x:v>QA</x:v>
      </x:c>
      <x:c r="D69" s="19" t="n">
        <x:v>1</x:v>
      </x:c>
      <x:c r="E69" s="16" t="n">
        <x:f>Tareas!C33</x:f>
        <x:v>4</x:v>
      </x:c>
      <x:c r="F69" s="17" t="n">
        <x:f>D69*E69</x:f>
        <x:v>4</x:v>
      </x:c>
      <x:c r="G69" s="20" t="n">
        <x:f>'Supuestos'!C10</x:f>
        <x:v>360</x:v>
      </x:c>
      <x:c r="H69" s="21" t="n">
        <x:f>F69*G69</x:f>
        <x:v>1440</x:v>
      </x:c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</x:row>
    <x:row r="70" ht="24" customHeight="1">
      <x:c r="A70" s="2" t="str">
        <x:v>5.3</x:v>
      </x:c>
      <x:c r="B70" s="2" t="str">
        <x:v>UAT y acta de aceptación</x:v>
      </x:c>
      <x:c r="C70" s="2" t="str">
        <x:v>PO</x:v>
      </x:c>
      <x:c r="D70" s="19" t="n">
        <x:v>1</x:v>
      </x:c>
      <x:c r="E70" s="16" t="n">
        <x:f>Tareas!C33</x:f>
        <x:v>4</x:v>
      </x:c>
      <x:c r="F70" s="17" t="n">
        <x:f>D70*E70</x:f>
        <x:v>4</x:v>
      </x:c>
      <x:c r="G70" s="20" t="n">
        <x:f>'Supuestos'!C7</x:f>
        <x:v>480</x:v>
      </x:c>
      <x:c r="H70" s="21" t="n">
        <x:f>F70*G70</x:f>
        <x:v>1920</x:v>
      </x:c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</x:row>
    <x:row r="71" ht="24" customHeight="1">
      <x:c r="A71" s="2" t="str">
        <x:v>5.3</x:v>
      </x:c>
      <x:c r="B71" s="2" t="str">
        <x:v>UAT y acta de aceptación</x:v>
      </x:c>
      <x:c r="C71" s="2" t="str">
        <x:v>RH</x:v>
      </x:c>
      <x:c r="D71" s="19" t="n">
        <x:v>0.5</x:v>
      </x:c>
      <x:c r="E71" s="16" t="n">
        <x:f>Tareas!C33</x:f>
        <x:v>4</x:v>
      </x:c>
      <x:c r="F71" s="17" t="n">
        <x:f>D71*E71</x:f>
        <x:v>2</x:v>
      </x:c>
      <x:c r="G71" s="20" t="n">
        <x:f>'Supuestos'!C8</x:f>
        <x:v>160</x:v>
      </x:c>
      <x:c r="H71" s="21" t="n">
        <x:f>F71*G71</x:f>
        <x:v>320</x:v>
      </x:c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</x:row>
    <x:row r="72" ht="24" customHeight="1">
      <x:c r="A72" s="2" t="str">
        <x:v>5.3</x:v>
      </x:c>
      <x:c r="B72" s="2" t="str">
        <x:v>UAT y acta de aceptación</x:v>
      </x:c>
      <x:c r="C72" s="2" t="str">
        <x:v>SG</x:v>
      </x:c>
      <x:c r="D72" s="19" t="n">
        <x:v>0.5</x:v>
      </x:c>
      <x:c r="E72" s="16" t="n">
        <x:f>Tareas!C33</x:f>
        <x:v>4</x:v>
      </x:c>
      <x:c r="F72" s="17" t="n">
        <x:f>D72*E72</x:f>
        <x:v>2</x:v>
      </x:c>
      <x:c r="G72" s="20" t="n">
        <x:f>'Supuestos'!C9</x:f>
        <x:v>170</x:v>
      </x:c>
      <x:c r="H72" s="21" t="n">
        <x:f>F72*G72</x:f>
        <x:v>340</x:v>
      </x:c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</x:row>
    <x:row r="73" ht="24" customHeight="1">
      <x:c r="A73" s="2" t="str">
        <x:v>5.3</x:v>
      </x:c>
      <x:c r="B73" s="2" t="str">
        <x:v>UAT y acta de aceptación</x:v>
      </x:c>
      <x:c r="C73" s="2" t="str">
        <x:v>TEC</x:v>
      </x:c>
      <x:c r="D73" s="19" t="n">
        <x:v>0.3</x:v>
      </x:c>
      <x:c r="E73" s="16" t="n">
        <x:f>Tareas!C33</x:f>
        <x:v>4</x:v>
      </x:c>
      <x:c r="F73" s="17" t="n">
        <x:f>D73*E73</x:f>
        <x:v>1.2</x:v>
      </x:c>
      <x:c r="G73" s="20" t="n">
        <x:f>'Supuestos'!C15</x:f>
        <x:v>190</x:v>
      </x:c>
      <x:c r="H73" s="21" t="n">
        <x:f>F73*G73</x:f>
        <x:v>228</x:v>
      </x:c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</x:row>
    <x:row r="74" ht="24" customHeight="1">
      <x:c r="A74" s="2" t="str">
        <x:v>5.3</x:v>
      </x:c>
      <x:c r="B74" s="2" t="str">
        <x:v>UAT y acta de aceptación</x:v>
      </x:c>
      <x:c r="C74" s="2" t="str">
        <x:v>USR</x:v>
      </x:c>
      <x:c r="D74" s="19" t="n">
        <x:v>5.625</x:v>
      </x:c>
      <x:c r="E74" s="16" t="n">
        <x:f>Tareas!C33</x:f>
        <x:v>4</x:v>
      </x:c>
      <x:c r="F74" s="17" t="n">
        <x:f>D74*E74</x:f>
        <x:v>22.5</x:v>
      </x:c>
      <x:c r="G74" s="20" t="n">
        <x:f>'Supuestos'!C17</x:f>
        <x:v>150</x:v>
      </x:c>
      <x:c r="H74" s="21" t="n">
        <x:f>F74*G74</x:f>
        <x:v>3375</x:v>
      </x:c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</x:row>
    <x:row r="75" ht="24" customHeight="1">
      <x:c r="A75" s="2" t="str">
        <x:v>5.4</x:v>
      </x:c>
      <x:c r="B75" s="2" t="str">
        <x:v>Go-live y estabilización (4 semanas)</x:v>
      </x:c>
      <x:c r="C75" s="2" t="str">
        <x:v>PM</x:v>
      </x:c>
      <x:c r="D75" s="19" t="n">
        <x:v>0.2</x:v>
      </x:c>
      <x:c r="E75" s="16" t="n">
        <x:f>Tareas!C34</x:f>
        <x:v>20</x:v>
      </x:c>
      <x:c r="F75" s="17" t="n">
        <x:f>D75*E75</x:f>
        <x:v>4</x:v>
      </x:c>
      <x:c r="G75" s="20" t="n">
        <x:f>'Supuestos'!C6</x:f>
        <x:v>520</x:v>
      </x:c>
      <x:c r="H75" s="21" t="n">
        <x:f>F75*G75</x:f>
        <x:v>2080</x:v>
      </x:c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</x:row>
    <x:row r="76" ht="24" customHeight="1">
      <x:c r="A76" s="2" t="str">
        <x:v>5.4</x:v>
      </x:c>
      <x:c r="B76" s="2" t="str">
        <x:v>Go-live y estabilización (4 semanas)</x:v>
      </x:c>
      <x:c r="C76" s="2" t="str">
        <x:v>PO</x:v>
      </x:c>
      <x:c r="D76" s="19" t="n">
        <x:v>0.3</x:v>
      </x:c>
      <x:c r="E76" s="16" t="n">
        <x:f>Tareas!C34</x:f>
        <x:v>20</x:v>
      </x:c>
      <x:c r="F76" s="17" t="n">
        <x:f>D76*E76</x:f>
        <x:v>6</x:v>
      </x:c>
      <x:c r="G76" s="20" t="n">
        <x:f>'Supuestos'!C7</x:f>
        <x:v>480</x:v>
      </x:c>
      <x:c r="H76" s="21" t="n">
        <x:f>F76*G76</x:f>
        <x:v>2880</x:v>
      </x:c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</x:row>
    <x:row r="77" ht="24" customHeight="1">
      <x:c r="A77" s="2" t="str">
        <x:v>5.4</x:v>
      </x:c>
      <x:c r="B77" s="2" t="str">
        <x:v>Go-live y estabilización (4 semanas)</x:v>
      </x:c>
      <x:c r="C77" s="2" t="str">
        <x:v>DEV</x:v>
      </x:c>
      <x:c r="D77" s="19" t="n">
        <x:v>1.5</x:v>
      </x:c>
      <x:c r="E77" s="16" t="n">
        <x:f>Tareas!C34</x:f>
        <x:v>20</x:v>
      </x:c>
      <x:c r="F77" s="17" t="n">
        <x:f>D77*E77</x:f>
        <x:v>30</x:v>
      </x:c>
      <x:c r="G77" s="20" t="n">
        <x:f>'Supuestos'!C12</x:f>
        <x:v>440</x:v>
      </x:c>
      <x:c r="H77" s="21" t="n">
        <x:f>F77*G77</x:f>
        <x:v>13200</x:v>
      </x:c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</x:row>
    <x:row r="78" ht="24" customHeight="1">
      <x:c r="A78" s="2" t="str">
        <x:v>5.4</x:v>
      </x:c>
      <x:c r="B78" s="2" t="str">
        <x:v>Go-live y estabilización (4 semanas)</x:v>
      </x:c>
      <x:c r="C78" s="2" t="str">
        <x:v>QA</x:v>
      </x:c>
      <x:c r="D78" s="19" t="n">
        <x:v>0.5</x:v>
      </x:c>
      <x:c r="E78" s="16" t="n">
        <x:f>Tareas!C34</x:f>
        <x:v>20</x:v>
      </x:c>
      <x:c r="F78" s="17" t="n">
        <x:f>D78*E78</x:f>
        <x:v>10</x:v>
      </x:c>
      <x:c r="G78" s="20" t="n">
        <x:f>'Supuestos'!C10</x:f>
        <x:v>360</x:v>
      </x:c>
      <x:c r="H78" s="21" t="n">
        <x:f>F78*G78</x:f>
        <x:v>3600</x:v>
      </x:c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</x:row>
    <x:row r="79" ht="24" customHeight="1">
      <x:c r="A79" s="2" t="str">
        <x:v>5.4</x:v>
      </x:c>
      <x:c r="B79" s="2" t="str">
        <x:v>Go-live y estabilización (4 semanas)</x:v>
      </x:c>
      <x:c r="C79" s="2" t="str">
        <x:v>OPS</x:v>
      </x:c>
      <x:c r="D79" s="19" t="n">
        <x:v>0.5</x:v>
      </x:c>
      <x:c r="E79" s="16" t="n">
        <x:f>Tareas!C34</x:f>
        <x:v>20</x:v>
      </x:c>
      <x:c r="F79" s="17" t="n">
        <x:f>D79*E79</x:f>
        <x:v>10</x:v>
      </x:c>
      <x:c r="G79" s="20" t="n">
        <x:f>'Supuestos'!C11</x:f>
        <x:v>460</x:v>
      </x:c>
      <x:c r="H79" s="21" t="n">
        <x:f>F79*G79</x:f>
        <x:v>4600</x:v>
      </x:c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</x:row>
    <x:row r="80" ht="24" customHeight="1">
      <x:c r="A80" s="2" t="str">
        <x:v>5.4</x:v>
      </x:c>
      <x:c r="B80" s="2" t="str">
        <x:v>Go-live y estabilización (4 semanas)</x:v>
      </x:c>
      <x:c r="C80" s="2" t="str">
        <x:v>UX</x:v>
      </x:c>
      <x:c r="D80" s="19" t="n">
        <x:v>0.2</x:v>
      </x:c>
      <x:c r="E80" s="16" t="n">
        <x:f>Tareas!C34</x:f>
        <x:v>20</x:v>
      </x:c>
      <x:c r="F80" s="17" t="n">
        <x:f>D80*E80</x:f>
        <x:v>4</x:v>
      </x:c>
      <x:c r="G80" s="20" t="n">
        <x:f>'Supuestos'!C13</x:f>
        <x:v>420</x:v>
      </x:c>
      <x:c r="H80" s="21" t="n">
        <x:f>F80*G80</x:f>
        <x:v>1680</x:v>
      </x:c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</x:row>
    <x:row r="81" ht="24" customHeight="1">
      <x:c r="A81" s="2" t="str">
        <x:v>5.4</x:v>
      </x:c>
      <x:c r="B81" s="2" t="str">
        <x:v>Go-live y estabilización (4 semanas)</x:v>
      </x:c>
      <x:c r="C81" s="2" t="str">
        <x:v>TEC</x:v>
      </x:c>
      <x:c r="D81" s="19" t="n">
        <x:v>0.3</x:v>
      </x:c>
      <x:c r="E81" s="16" t="n">
        <x:f>Tareas!C34</x:f>
        <x:v>20</x:v>
      </x:c>
      <x:c r="F81" s="17" t="n">
        <x:f>D81*E81</x:f>
        <x:v>6</x:v>
      </x:c>
      <x:c r="G81" s="20" t="n">
        <x:f>'Supuestos'!C15</x:f>
        <x:v>190</x:v>
      </x:c>
      <x:c r="H81" s="21" t="n">
        <x:f>F81*G81</x:f>
        <x:v>1140</x:v>
      </x:c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</x:row>
    <x:row r="82" ht="24" customHeight="1">
      <x:c r="A82" s="2" t="str">
        <x:v>5.4</x:v>
      </x:c>
      <x:c r="B82" s="2" t="str">
        <x:v>Go-live y estabilización (4 semanas)</x:v>
      </x:c>
      <x:c r="C82" s="2" t="str">
        <x:v>RH</x:v>
      </x:c>
      <x:c r="D82" s="19" t="n">
        <x:v>0.5</x:v>
      </x:c>
      <x:c r="E82" s="16" t="n">
        <x:f>Tareas!C34</x:f>
        <x:v>20</x:v>
      </x:c>
      <x:c r="F82" s="17" t="n">
        <x:f>D82*E82</x:f>
        <x:v>10</x:v>
      </x:c>
      <x:c r="G82" s="20" t="n">
        <x:f>'Supuestos'!C8</x:f>
        <x:v>160</x:v>
      </x:c>
      <x:c r="H82" s="21" t="n">
        <x:f>F82*G82</x:f>
        <x:v>1600</x:v>
      </x:c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</x:row>
    <x:row r="83" ht="24" customHeight="1">
      <x:c r="A83" s="2" t="str">
        <x:v>5.5</x:v>
      </x:c>
      <x:c r="B83" s="2" t="str">
        <x:v>Tablero y transferencia del seguimiento</x:v>
      </x:c>
      <x:c r="C83" s="2" t="str">
        <x:v>PO</x:v>
      </x:c>
      <x:c r="D83" s="19" t="n">
        <x:v>0.3</x:v>
      </x:c>
      <x:c r="E83" s="16" t="n">
        <x:f>Tareas!C35</x:f>
        <x:v>10</x:v>
      </x:c>
      <x:c r="F83" s="17" t="n">
        <x:f>D83*E83</x:f>
        <x:v>3</x:v>
      </x:c>
      <x:c r="G83" s="20" t="n">
        <x:f>'Supuestos'!C7</x:f>
        <x:v>480</x:v>
      </x:c>
      <x:c r="H83" s="21" t="n">
        <x:f>F83*G83</x:f>
        <x:v>1440</x:v>
      </x:c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</x:row>
    <x:row r="84" ht="24" customHeight="1">
      <x:c r="A84" s="2" t="str">
        <x:v>5.5</x:v>
      </x:c>
      <x:c r="B84" s="2" t="str">
        <x:v>Tablero y transferencia del seguimiento</x:v>
      </x:c>
      <x:c r="C84" s="2" t="str">
        <x:v>DEV</x:v>
      </x:c>
      <x:c r="D84" s="19" t="n">
        <x:v>0.3</x:v>
      </x:c>
      <x:c r="E84" s="16" t="n">
        <x:f>Tareas!C35</x:f>
        <x:v>10</x:v>
      </x:c>
      <x:c r="F84" s="17" t="n">
        <x:f>D84*E84</x:f>
        <x:v>3</x:v>
      </x:c>
      <x:c r="G84" s="20" t="n">
        <x:f>'Supuestos'!C12</x:f>
        <x:v>440</x:v>
      </x:c>
      <x:c r="H84" s="21" t="n">
        <x:f>F84*G84</x:f>
        <x:v>1320</x:v>
      </x:c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</x:row>
    <x:row r="85" ht="24" customHeight="1">
      <x:c r="A85" s="2" t="str">
        <x:v>5.5</x:v>
      </x:c>
      <x:c r="B85" s="2" t="str">
        <x:v>Tablero y transferencia del seguimiento</x:v>
      </x:c>
      <x:c r="C85" s="2" t="str">
        <x:v>RH</x:v>
      </x:c>
      <x:c r="D85" s="19" t="n">
        <x:v>0.4</x:v>
      </x:c>
      <x:c r="E85" s="16" t="n">
        <x:f>Tareas!C35</x:f>
        <x:v>10</x:v>
      </x:c>
      <x:c r="F85" s="17" t="n">
        <x:f>D85*E85</x:f>
        <x:v>4</x:v>
      </x:c>
      <x:c r="G85" s="20" t="n">
        <x:f>'Supuestos'!C8</x:f>
        <x:v>160</x:v>
      </x:c>
      <x:c r="H85" s="21" t="n">
        <x:f>F85*G85</x:f>
        <x:v>640</x:v>
      </x:c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</x:row>
    <x:row r="86" ht="24" customHeight="1">
      <x:c r="A86" s="2" t="str">
        <x:v>5.5</x:v>
      </x:c>
      <x:c r="B86" s="2" t="str">
        <x:v>Tablero y transferencia del seguimiento</x:v>
      </x:c>
      <x:c r="C86" s="2" t="str">
        <x:v>TEC</x:v>
      </x:c>
      <x:c r="D86" s="19" t="n">
        <x:v>0.2</x:v>
      </x:c>
      <x:c r="E86" s="16" t="n">
        <x:f>Tareas!C35</x:f>
        <x:v>10</x:v>
      </x:c>
      <x:c r="F86" s="17" t="n">
        <x:f>D86*E86</x:f>
        <x:v>2</x:v>
      </x:c>
      <x:c r="G86" s="20" t="n">
        <x:f>'Supuestos'!C15</x:f>
        <x:v>190</x:v>
      </x:c>
      <x:c r="H86" s="21" t="n">
        <x:f>F86*G86</x:f>
        <x:v>380</x:v>
      </x:c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</x:row>
    <x:row r="87" ht="24" customHeight="1">
      <x:c r="A87" s="2" t="str">
        <x:v>5.6</x:v>
      </x:c>
      <x:c r="B87" s="2" t="str">
        <x:v>Informe de ocupación y recomendación</x:v>
      </x:c>
      <x:c r="C87" s="2" t="str">
        <x:v>PO</x:v>
      </x:c>
      <x:c r="D87" s="19" t="n">
        <x:v>0.2</x:v>
      </x:c>
      <x:c r="E87" s="16" t="n">
        <x:f>Tareas!C36</x:f>
        <x:v>10</x:v>
      </x:c>
      <x:c r="F87" s="17" t="n">
        <x:f>D87*E87</x:f>
        <x:v>2</x:v>
      </x:c>
      <x:c r="G87" s="20" t="n">
        <x:f>'Supuestos'!C7</x:f>
        <x:v>480</x:v>
      </x:c>
      <x:c r="H87" s="21" t="n">
        <x:f>F87*G87</x:f>
        <x:v>960</x:v>
      </x:c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</x:row>
    <x:row r="88" ht="24" customHeight="1">
      <x:c r="A88" s="2" t="str">
        <x:v>5.6</x:v>
      </x:c>
      <x:c r="B88" s="2" t="str">
        <x:v>Informe de ocupación y recomendación</x:v>
      </x:c>
      <x:c r="C88" s="2" t="str">
        <x:v>DEV</x:v>
      </x:c>
      <x:c r="D88" s="19" t="n">
        <x:v>0.2</x:v>
      </x:c>
      <x:c r="E88" s="16" t="n">
        <x:f>Tareas!C36</x:f>
        <x:v>10</x:v>
      </x:c>
      <x:c r="F88" s="17" t="n">
        <x:f>D88*E88</x:f>
        <x:v>2</x:v>
      </x:c>
      <x:c r="G88" s="20" t="n">
        <x:f>'Supuestos'!C12</x:f>
        <x:v>440</x:v>
      </x:c>
      <x:c r="H88" s="21" t="n">
        <x:f>F88*G88</x:f>
        <x:v>880</x:v>
      </x:c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</x:row>
    <x:row r="89" ht="24" customHeight="1">
      <x:c r="A89" s="2" t="str">
        <x:v>5.6</x:v>
      </x:c>
      <x:c r="B89" s="2" t="str">
        <x:v>Informe de ocupación y recomendación</x:v>
      </x:c>
      <x:c r="C89" s="2" t="str">
        <x:v>SG</x:v>
      </x:c>
      <x:c r="D89" s="19" t="n">
        <x:v>0.5</x:v>
      </x:c>
      <x:c r="E89" s="16" t="n">
        <x:f>Tareas!C36</x:f>
        <x:v>10</x:v>
      </x:c>
      <x:c r="F89" s="17" t="n">
        <x:f>D89*E89</x:f>
        <x:v>5</x:v>
      </x:c>
      <x:c r="G89" s="20" t="n">
        <x:f>'Supuestos'!C9</x:f>
        <x:v>170</x:v>
      </x:c>
      <x:c r="H89" s="21" t="n">
        <x:f>F89*G89</x:f>
        <x:v>850</x:v>
      </x:c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</x:row>
    <x:row r="90" ht="24" customHeight="1">
      <x:c r="A90" s="14" t="str">
        <x:v>Total</x:v>
      </x:c>
      <x:c r="B90" s="14"/>
      <x:c r="C90" s="14"/>
      <x:c r="D90" s="18"/>
      <x:c r="E90" s="18"/>
      <x:c r="F90" s="18" t="n">
        <x:f>SUM(F6:F89)</x:f>
        <x:v>596.1</x:v>
      </x:c>
      <x:c r="G90" s="22"/>
      <x:c r="H90" s="22" t="n">
        <x:f>SUM(H6:H89)</x:f>
        <x:v>235926</x:v>
      </x:c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</x:row>
    <x:row r="100" ht="24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</x:row>
    <x:row r="101" ht="24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</x:row>
    <x:row r="107" ht="24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</x:row>
    <x:row r="111" ht="24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</x:row>
    <x:row r="112" ht="24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</x:row>
    <x:row r="113" ht="24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</x:row>
    <x:row r="116" ht="24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</x:row>
    <x:row r="117" ht="24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</x:row>
    <x:row r="118" ht="24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</x:row>
    <x:row r="120" ht="24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</x:row>
    <x:row r="121" ht="24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</x:row>
    <x:row r="122" ht="24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</x:row>
    <x:row r="123" ht="24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</x:row>
    <x:row r="124" ht="24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</x:row>
    <x:row r="125" ht="24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</x:row>
    <x:row r="126" ht="24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</x:row>
    <x:row r="127" ht="24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</x:row>
    <x:row r="128" ht="24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</x:row>
    <x:row r="129" ht="24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</x:row>
    <x:row r="130" ht="24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62" hidden="0" customWidth="1"/>
    <x:col min="3" max="3" width="14" hidden="0" customWidth="1"/>
    <x:col min="4" max="4" width="18" hidden="0" customWidth="1"/>
    <x:col min="5" max="5" width="17" hidden="0" customWidth="1"/>
    <x:col min="6" max="6" width="18" hidden="0" customWidth="1"/>
    <x:col min="7" max="7" width="10" hidden="0" customWidth="1"/>
    <x:col min="8" max="8" width="17" hidden="0" customWidth="1"/>
    <x:col min="9" max="9" width="17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Partidas no laborales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Cantidad × precio. Cuenta EDT agrupa costo una sola vez; período propio conserva devengo del servicio.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2" customHeight="1">
      <x:c r="A5" s="6" t="str">
        <x:v>ID</x:v>
      </x:c>
      <x:c r="B5" s="6" t="str">
        <x:v>Concepto</x:v>
      </x:c>
      <x:c r="C5" s="6" t="str">
        <x:v>Cantidad</x:v>
      </x:c>
      <x:c r="D5" s="6" t="str">
        <x:v>Unidad</x:v>
      </x:c>
      <x:c r="E5" s="6" t="str">
        <x:v>USD/unidad</x:v>
      </x:c>
      <x:c r="F5" s="6" t="str">
        <x:v>Costo USD</x:v>
      </x:c>
      <x:c r="G5" s="6" t="str">
        <x:v>EDT</x:v>
      </x:c>
      <x:c r="H5" s="6" t="str">
        <x:v>Desde</x:v>
      </x:c>
      <x:c r="I5" s="6" t="str">
        <x:v>Hasta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48" customHeight="1">
      <x:c r="A6" s="2" t="str">
        <x:v>P-1</x:v>
      </x:c>
      <x:c r="B6" s="11" t="str">
        <x:v>Licencia WorkHub, 1.200 usuarios nominados (primer año de soporte incluido)</x:v>
      </x:c>
      <x:c r="C6" s="8" t="n">
        <x:v>1200</x:v>
      </x:c>
      <x:c r="D6" s="8" t="str">
        <x:v>usuarios</x:v>
      </x:c>
      <x:c r="E6" s="9" t="n">
        <x:v>90</x:v>
      </x:c>
      <x:c r="F6" s="21" t="n">
        <x:f>C6*E6</x:f>
        <x:v>108000</x:v>
      </x:c>
      <x:c r="G6" s="2" t="str">
        <x:v>1.1</x:v>
      </x:c>
      <x:c r="H6" s="23" t="d">
        <x:v>2026-10-01T12:00:00.000Z</x:v>
      </x:c>
      <x:c r="I6" s="23" t="d">
        <x:v>2026-10-01T12:00:00.000Z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48" customHeight="1">
      <x:c r="A7" s="2" t="str">
        <x:v>P-2a</x:v>
      </x:c>
      <x:c r="B7" s="11" t="str">
        <x:v>Entorno de desarrollo (Azure Brasil Sur)</x:v>
      </x:c>
      <x:c r="C7" s="8" t="n">
        <x:v>7</x:v>
      </x:c>
      <x:c r="D7" s="8" t="str">
        <x:v>meses</x:v>
      </x:c>
      <x:c r="E7" s="9" t="n">
        <x:v>150</x:v>
      </x:c>
      <x:c r="F7" s="21" t="n">
        <x:f>C7*E7</x:f>
        <x:v>1050</x:v>
      </x:c>
      <x:c r="G7" s="2" t="str">
        <x:v>5.1</x:v>
      </x:c>
      <x:c r="H7" s="23" t="d">
        <x:v>2026-10-14T12:00:00.000Z</x:v>
      </x:c>
      <x:c r="I7" s="23" t="d">
        <x:v>2027-04-30T12:00:00.000Z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48" customHeight="1">
      <x:c r="A8" s="2" t="str">
        <x:v>P-2b</x:v>
      </x:c>
      <x:c r="B8" s="11" t="str">
        <x:v>Entorno de QA / staging</x:v>
      </x:c>
      <x:c r="C8" s="8" t="n">
        <x:v>6</x:v>
      </x:c>
      <x:c r="D8" s="8" t="str">
        <x:v>meses</x:v>
      </x:c>
      <x:c r="E8" s="9" t="n">
        <x:v>250</x:v>
      </x:c>
      <x:c r="F8" s="21" t="n">
        <x:f>C8*E8</x:f>
        <x:v>1500</x:v>
      </x:c>
      <x:c r="G8" s="2" t="str">
        <x:v>5.1</x:v>
      </x:c>
      <x:c r="H8" s="23" t="d">
        <x:v>2026-10-14T12:00:00.000Z</x:v>
      </x:c>
      <x:c r="I8" s="23" t="d">
        <x:v>2027-04-28T12:00:00.000Z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</x:row>
    <x:row r="9" ht="48" customHeight="1">
      <x:c r="A9" s="2" t="str">
        <x:v>P-2c</x:v>
      </x:c>
      <x:c r="B9" s="11" t="str">
        <x:v>Entorno de producción (alineado al hosting anual de N1: USD 5.060 / 12)</x:v>
      </x:c>
      <x:c r="C9" s="8" t="n">
        <x:v>2</x:v>
      </x:c>
      <x:c r="D9" s="8" t="str">
        <x:v>meses</x:v>
      </x:c>
      <x:c r="E9" s="9" t="n">
        <x:v>422</x:v>
      </x:c>
      <x:c r="F9" s="21" t="n">
        <x:f>C9*E9</x:f>
        <x:v>844</x:v>
      </x:c>
      <x:c r="G9" s="2" t="str">
        <x:v>5.4</x:v>
      </x:c>
      <x:c r="H9" s="23" t="d">
        <x:v>2027-03-31T12:00:00.000Z</x:v>
      </x:c>
      <x:c r="I9" s="23" t="d">
        <x:v>2027-04-30T12:00:00.000Z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 ht="48" customHeight="1">
      <x:c r="A10" s="2" t="str">
        <x:v>P-2d</x:v>
      </x:c>
      <x:c r="B10" s="11" t="str">
        <x:v>Observabilidad y logs (APM)</x:v>
      </x:c>
      <x:c r="C10" s="8" t="n">
        <x:v>7</x:v>
      </x:c>
      <x:c r="D10" s="8" t="str">
        <x:v>meses</x:v>
      </x:c>
      <x:c r="E10" s="9" t="n">
        <x:v>300</x:v>
      </x:c>
      <x:c r="F10" s="21" t="n">
        <x:f>C10*E10</x:f>
        <x:v>2100</x:v>
      </x:c>
      <x:c r="G10" s="2" t="str">
        <x:v>5.1</x:v>
      </x:c>
      <x:c r="H10" s="23" t="d">
        <x:v>2026-10-14T12:00:00.000Z</x:v>
      </x:c>
      <x:c r="I10" s="23" t="d">
        <x:v>2027-04-30T12:00:00.000Z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48" customHeight="1">
      <x:c r="A11" s="2" t="str">
        <x:v>P-2e</x:v>
      </x:c>
      <x:c r="B11" s="11" t="str">
        <x:v>Herramientas de soporte del equipo (CI/CD, backlog, bóveda de secretos)</x:v>
      </x:c>
      <x:c r="C11" s="8" t="n">
        <x:v>42</x:v>
      </x:c>
      <x:c r="D11" s="8" t="str">
        <x:v>usuario-mes</x:v>
      </x:c>
      <x:c r="E11" s="9" t="n">
        <x:v>40</x:v>
      </x:c>
      <x:c r="F11" s="21" t="n">
        <x:f>C11*E11</x:f>
        <x:v>1680</x:v>
      </x:c>
      <x:c r="G11" s="2" t="str">
        <x:v>5.1</x:v>
      </x:c>
      <x:c r="H11" s="23" t="d">
        <x:v>2026-10-14T12:00:00.000Z</x:v>
      </x:c>
      <x:c r="I11" s="23" t="d">
        <x:v>2027-04-30T12:00:00.000Z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48" customHeight="1">
      <x:c r="A12" s="2" t="str">
        <x:v>P-3a</x:v>
      </x:c>
      <x:c r="B12" s="11" t="str">
        <x:v>Piezas de la campaña de lanzamiento (diseño y producción)</x:v>
      </x:c>
      <x:c r="C12" s="8" t="n">
        <x:v>12</x:v>
      </x:c>
      <x:c r="D12" s="8" t="str">
        <x:v>piezas</x:v>
      </x:c>
      <x:c r="E12" s="9" t="n">
        <x:v>300</x:v>
      </x:c>
      <x:c r="F12" s="21" t="n">
        <x:f>C12*E12</x:f>
        <x:v>3600</x:v>
      </x:c>
      <x:c r="G12" s="2" t="str">
        <x:v>4.3</x:v>
      </x:c>
      <x:c r="H12" s="23" t="d">
        <x:v>2027-03-01T12:00:00.000Z</x:v>
      </x:c>
      <x:c r="I12" s="23" t="d">
        <x:v>2027-03-19T12:00:00.000Z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48" customHeight="1">
      <x:c r="A13" s="2" t="str">
        <x:v>P-3b</x:v>
      </x:c>
      <x:c r="B13" s="11" t="str">
        <x:v>Materiales de capacitación (video-tutoriales y guías)</x:v>
      </x:c>
      <x:c r="C13" s="8" t="n">
        <x:v>8</x:v>
      </x:c>
      <x:c r="D13" s="8" t="str">
        <x:v>materiales</x:v>
      </x:c>
      <x:c r="E13" s="9" t="n">
        <x:v>450</x:v>
      </x:c>
      <x:c r="F13" s="21" t="n">
        <x:f>C13*E13</x:f>
        <x:v>3600</x:v>
      </x:c>
      <x:c r="G13" s="2" t="str">
        <x:v>4.4</x:v>
      </x:c>
      <x:c r="H13" s="23" t="d">
        <x:v>2026-11-10T12:00:00.000Z</x:v>
      </x:c>
      <x:c r="I13" s="23" t="d">
        <x:v>2026-12-17T12:00:00.000Z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48" customHeight="1">
      <x:c r="A14" s="2" t="str">
        <x:v>P-3c</x:v>
      </x:c>
      <x:c r="B14" s="11" t="str">
        <x:v>Sesiones de capacitación a 1.200 colaboradores (logística)</x:v>
      </x:c>
      <x:c r="C14" s="8" t="n">
        <x:v>30</x:v>
      </x:c>
      <x:c r="D14" s="8" t="str">
        <x:v>sesiones</x:v>
      </x:c>
      <x:c r="E14" s="9" t="n">
        <x:v>120</x:v>
      </x:c>
      <x:c r="F14" s="21" t="n">
        <x:f>C14*E14</x:f>
        <x:v>3600</x:v>
      </x:c>
      <x:c r="G14" s="2" t="str">
        <x:v>4.4</x:v>
      </x:c>
      <x:c r="H14" s="23" t="d">
        <x:v>2027-03-22T12:00:00.000Z</x:v>
      </x:c>
      <x:c r="I14" s="23" t="d">
        <x:v>2027-03-30T12:00:00.000Z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48" customHeight="1">
      <x:c r="A15" s="2" t="str">
        <x:v>P-3d</x:v>
      </x:c>
      <x:c r="B15" s="11" t="str">
        <x:v>Encuestas de intención de uso y pulso</x:v>
      </x:c>
      <x:c r="C15" s="8" t="n">
        <x:v>1</x:v>
      </x:c>
      <x:c r="D15" s="8" t="str">
        <x:v>servicio</x:v>
      </x:c>
      <x:c r="E15" s="9" t="n">
        <x:v>900</x:v>
      </x:c>
      <x:c r="F15" s="21" t="n">
        <x:f>C15*E15</x:f>
        <x:v>900</x:v>
      </x:c>
      <x:c r="G15" s="2" t="str">
        <x:v>4.1</x:v>
      </x:c>
      <x:c r="H15" s="23" t="d">
        <x:v>2026-10-13T12:00:00.000Z</x:v>
      </x:c>
      <x:c r="I15" s="23" t="d">
        <x:v>2026-10-26T12:00:00.000Z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48" customHeight="1">
      <x:c r="A16" s="2" t="str">
        <x:v>P-4a</x:v>
      </x:c>
      <x:c r="B16" s="11" t="str">
        <x:v>Prueba de intrusión externa (requisito RA-2)</x:v>
      </x:c>
      <x:c r="C16" s="8" t="n">
        <x:v>1</x:v>
      </x:c>
      <x:c r="D16" s="8" t="str">
        <x:v>servicio</x:v>
      </x:c>
      <x:c r="E16" s="9" t="n">
        <x:v>7500</x:v>
      </x:c>
      <x:c r="F16" s="21" t="n">
        <x:f>C16*E16</x:f>
        <x:v>7500</x:v>
      </x:c>
      <x:c r="G16" s="2" t="str">
        <x:v>3.4</x:v>
      </x:c>
      <x:c r="H16" s="23" t="d">
        <x:v>2026-11-13T12:00:00.000Z</x:v>
      </x:c>
      <x:c r="I16" s="23" t="d">
        <x:v>2026-12-04T12:00:00.000Z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48" customHeight="1">
      <x:c r="A17" s="2" t="str">
        <x:v>P-4b</x:v>
      </x:c>
      <x:c r="B17" s="11" t="str">
        <x:v>Entornos sandbox de conectores (HRIS y Exchange)</x:v>
      </x:c>
      <x:c r="C17" s="8" t="n">
        <x:v>2</x:v>
      </x:c>
      <x:c r="D17" s="8" t="str">
        <x:v>conectores</x:v>
      </x:c>
      <x:c r="E17" s="9" t="n">
        <x:v>1200</x:v>
      </x:c>
      <x:c r="F17" s="21" t="n">
        <x:f>C17*E17</x:f>
        <x:v>2400</x:v>
      </x:c>
      <x:c r="G17" s="2" t="str">
        <x:v>3.2</x:v>
      </x:c>
      <x:c r="H17" s="23" t="d">
        <x:v>2026-10-30T12:00:00.000Z</x:v>
      </x:c>
      <x:c r="I17" s="23" t="d">
        <x:v>2026-11-12T12:00:00.000Z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 ht="24" customHeight="1">
      <x:c r="A18" s="14" t="str">
        <x:v>Total</x:v>
      </x:c>
      <x:c r="B18" s="14"/>
      <x:c r="C18" s="14"/>
      <x:c r="D18" s="14"/>
      <x:c r="E18" s="22"/>
      <x:c r="F18" s="22" t="n">
        <x:f>SUM(F6:F17)</x:f>
        <x:v>136774</x:v>
      </x:c>
      <x:c r="G18" s="14"/>
      <x:c r="H18" s="14"/>
      <x:c r="I18" s="14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</x:row>
    <x:row r="100" ht="24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</x:row>
    <x:row r="101" ht="24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</x:row>
    <x:row r="107" ht="24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</x:row>
    <x:row r="111" ht="24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</x:row>
    <x:row r="112" ht="24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</x:row>
    <x:row r="113" ht="24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</x:row>
    <x:row r="116" ht="24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</x:row>
    <x:row r="117" ht="24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</x:row>
    <x:row r="118" ht="24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</x:row>
    <x:row r="120" ht="24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</x:row>
    <x:row r="121" ht="24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</x:row>
    <x:row r="122" ht="24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</x:row>
    <x:row r="123" ht="24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</x:row>
    <x:row r="124" ht="24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</x:row>
    <x:row r="125" ht="24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</x:row>
    <x:row r="126" ht="24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</x:row>
    <x:row r="127" ht="24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</x:row>
    <x:row r="128" ht="24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</x:row>
    <x:row r="129" ht="24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</x:row>
    <x:row r="130" ht="24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22" hidden="0" customWidth="1"/>
    <x:col min="4" max="4" width="22" hidden="0" customWidth="1"/>
    <x:col min="5" max="5" width="22" hidden="0" customWidth="1"/>
    <x:col min="6" max="6" width="24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Línea base de costos por mes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USD devengados. Trabajo + reserva no distribuida. Ponderaciones por días hábiles del calendario N2, conservadas como entradas.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2" customHeight="1">
      <x:c r="A5" s="6" t="str">
        <x:v>Mes</x:v>
      </x:c>
      <x:c r="B5" s="6" t="str">
        <x:v>Trabajo USD</x:v>
      </x:c>
      <x:c r="C5" s="6" t="str">
        <x:v>Contingencia USD</x:v>
      </x:c>
      <x:c r="D5" s="6" t="str">
        <x:v>Línea base USD</x:v>
      </x:c>
      <x:c r="E5" s="6" t="str">
        <x:v>Acumulada USD</x:v>
      </x:c>
      <x:c r="F5" s="6" t="str">
        <x:v>Trabajo acumulado USD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4" customHeight="1">
      <x:c r="A6" s="24" t="d">
        <x:v>2026-10-01T12:00:00.000Z</x:v>
      </x:c>
      <x:c r="B6" s="21" t="n">
        <x:f>SUMPRODUCT($C$21:$C$63,D21:D63)</x:f>
        <x:v>157675.68181818182</x:v>
      </x:c>
      <x:c r="C6" s="20" t="n">
        <x:f>SUMIF(Riesgos!$N$6:$N$24,"2026-10",Riesgos!$M$6:$M$24)</x:f>
        <x:v>0</x:v>
      </x:c>
      <x:c r="D6" s="21" t="n">
        <x:f>B6+C6</x:f>
        <x:v>157675.68181818182</x:v>
      </x:c>
      <x:c r="E6" s="21" t="n">
        <x:f>SUM($D$6:D6)</x:f>
        <x:v>157675.68181818182</x:v>
      </x:c>
      <x:c r="F6" s="21" t="n">
        <x:f>SUM($B$6:B6)</x:f>
        <x:v>157675.68181818182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24" customHeight="1">
      <x:c r="A7" s="24" t="d">
        <x:v>2026-11-01T12:00:00.000Z</x:v>
      </x:c>
      <x:c r="B7" s="21" t="n">
        <x:f>SUMPRODUCT($C$21:$C$63,E21:E63)</x:f>
        <x:v>75021.58741258743</x:v>
      </x:c>
      <x:c r="C7" s="20" t="n">
        <x:f>SUMIF(Riesgos!$N$6:$N$24,"2026-11",Riesgos!$M$6:$M$24)</x:f>
        <x:v>4700</x:v>
      </x:c>
      <x:c r="D7" s="21" t="n">
        <x:f>B7+C7</x:f>
        <x:v>79721.58741258743</x:v>
      </x:c>
      <x:c r="E7" s="21" t="n">
        <x:f>SUM($D$6:D7)</x:f>
        <x:v>237397.26923076925</x:v>
      </x:c>
      <x:c r="F7" s="21" t="n">
        <x:f>SUM($B$6:B7)</x:f>
        <x:v>232697.26923076925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24" customHeight="1">
      <x:c r="A8" s="24" t="d">
        <x:v>2026-12-01T12:00:00.000Z</x:v>
      </x:c>
      <x:c r="B8" s="21" t="n">
        <x:f>SUMPRODUCT($C$21:$C$63,F21:F63)</x:f>
        <x:v>46020.58741258742</x:v>
      </x:c>
      <x:c r="C8" s="20" t="n">
        <x:f>SUMIF(Riesgos!$N$6:$N$24,"2026-12",Riesgos!$M$6:$M$24)</x:f>
        <x:v>2500</x:v>
      </x:c>
      <x:c r="D8" s="21" t="n">
        <x:f>B8+C8</x:f>
        <x:v>48520.58741258742</x:v>
      </x:c>
      <x:c r="E8" s="21" t="n">
        <x:f>SUM($D$6:D8)</x:f>
        <x:v>285917.8566433567</x:v>
      </x:c>
      <x:c r="F8" s="21" t="n">
        <x:f>SUM($B$6:B8)</x:f>
        <x:v>278717.8566433567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</x:row>
    <x:row r="9" ht="24" customHeight="1">
      <x:c r="A9" s="24" t="d">
        <x:v>2027-01-01T12:00:00.000Z</x:v>
      </x:c>
      <x:c r="B9" s="21" t="n">
        <x:f>SUMPRODUCT($C$21:$C$63,G21:G63)</x:f>
        <x:v>14688.587412587412</x:v>
      </x:c>
      <x:c r="C9" s="20" t="n">
        <x:f>SUMIF(Riesgos!$N$6:$N$24,"2027-01",Riesgos!$M$6:$M$24)</x:f>
        <x:v>0</x:v>
      </x:c>
      <x:c r="D9" s="21" t="n">
        <x:f>B9+C9</x:f>
        <x:v>14688.587412587412</x:v>
      </x:c>
      <x:c r="E9" s="21" t="n">
        <x:f>SUM($D$6:D9)</x:f>
        <x:v>300606.4440559441</x:v>
      </x:c>
      <x:c r="F9" s="21" t="n">
        <x:f>SUM($B$6:B9)</x:f>
        <x:v>293406.4440559441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 ht="24" customHeight="1">
      <x:c r="A10" s="24" t="d">
        <x:v>2027-02-01T12:00:00.000Z</x:v>
      </x:c>
      <x:c r="B10" s="21" t="n">
        <x:f>SUMPRODUCT($C$21:$C$63,H21:H63)</x:f>
        <x:v>5546.328671328671</x:v>
      </x:c>
      <x:c r="C10" s="20" t="n">
        <x:f>SUMIF(Riesgos!$N$6:$N$24,"2027-02",Riesgos!$M$6:$M$24)</x:f>
        <x:v>0</x:v>
      </x:c>
      <x:c r="D10" s="21" t="n">
        <x:f>B10+C10</x:f>
        <x:v>5546.328671328671</x:v>
      </x:c>
      <x:c r="E10" s="21" t="n">
        <x:f>SUM($D$6:D10)</x:f>
        <x:v>306152.77272727276</x:v>
      </x:c>
      <x:c r="F10" s="21" t="n">
        <x:f>SUM($B$6:B10)</x:f>
        <x:v>298952.77272727276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24" customHeight="1">
      <x:c r="A11" s="24" t="d">
        <x:v>2027-03-01T12:00:00.000Z</x:v>
      </x:c>
      <x:c r="B11" s="21" t="n">
        <x:f>SUMPRODUCT($C$21:$C$63,I21:I63)</x:f>
        <x:v>29762.95104895105</x:v>
      </x:c>
      <x:c r="C11" s="20" t="n">
        <x:f>SUMIF(Riesgos!$N$6:$N$24,"2027-03",Riesgos!$M$6:$M$24)</x:f>
        <x:v>9800</x:v>
      </x:c>
      <x:c r="D11" s="21" t="n">
        <x:f>B11+C11</x:f>
        <x:v>39562.95104895105</x:v>
      </x:c>
      <x:c r="E11" s="21" t="n">
        <x:f>SUM($D$6:D11)</x:f>
        <x:v>345715.72377622384</x:v>
      </x:c>
      <x:c r="F11" s="21" t="n">
        <x:f>SUM($B$6:B11)</x:f>
        <x:v>328715.72377622384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24" customHeight="1">
      <x:c r="A12" s="24" t="d">
        <x:v>2027-04-01T12:00:00.000Z</x:v>
      </x:c>
      <x:c r="B12" s="21" t="n">
        <x:f>SUMPRODUCT($C$21:$C$63,J21:J63)</x:f>
        <x:v>43984.27622377622</x:v>
      </x:c>
      <x:c r="C12" s="20" t="n">
        <x:f>SUMIF(Riesgos!$N$6:$N$24,"2027-04",Riesgos!$M$6:$M$24)</x:f>
        <x:v>5000</x:v>
      </x:c>
      <x:c r="D12" s="21" t="n">
        <x:f>B12+C12</x:f>
        <x:v>48984.27622377622</x:v>
      </x:c>
      <x:c r="E12" s="21" t="n">
        <x:f>SUM($D$6:D12)</x:f>
        <x:v>394700.00000000006</x:v>
      </x:c>
      <x:c r="F12" s="21" t="n">
        <x:f>SUM($B$6:B12)</x:f>
        <x:v>372700.00000000006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24" customHeight="1">
      <x:c r="A13" s="14" t="str">
        <x:v>Total</x:v>
      </x:c>
      <x:c r="B13" s="22" t="n">
        <x:f>SUM(B6:B12)</x:f>
        <x:v>372700.00000000006</x:v>
      </x:c>
      <x:c r="C13" s="22" t="n">
        <x:f>SUM(C6:C12)</x:f>
        <x:v>22000</x:v>
      </x:c>
      <x:c r="D13" s="22" t="n">
        <x:f>SUM(D6:D12)</x:f>
        <x:v>394700.00000000006</x:v>
      </x:c>
      <x:c r="E13" s="22" t="n">
        <x:f>E12</x:f>
        <x:v>394700.00000000006</x:v>
      </x:c>
      <x:c r="F13" s="22" t="n">
        <x:f>F12</x:f>
        <x:v>372700.00000000006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24" customHeight="1">
      <x:c r="A16" s="2" t="str">
        <x:v>BAC operativo 372.700 + contingencia 22.000 = línea base 394.700. La reserva no gana EV por tiempo.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 t="str">
        <x:v>Mes</x:v>
      </x:c>
      <x:c r="S16" s="2" t="str">
        <x:v>Línea base acumulada USD</x:v>
      </x:c>
      <x:c r="T16" s="2"/>
    </x:row>
    <x:row r="17" ht="24" customHeight="1">
      <x:c r="A17" s="2" t="str">
        <x:v>Trabajo acumulado es costo lineal; validar hitos/componentes antes de cargar PV al reporte EVM.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 t="str">
        <x:v>2026-10</x:v>
      </x:c>
      <x:c r="S17" s="2" t="n">
        <x:f>E6</x:f>
        <x:v>157675.68181818182</x:v>
      </x:c>
      <x:c r="T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 t="str">
        <x:v>2026-11</x:v>
      </x:c>
      <x:c r="S18" s="2" t="n">
        <x:f>E7</x:f>
        <x:v>237397.26923076925</x:v>
      </x:c>
      <x:c r="T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 t="str">
        <x:v>2026-12</x:v>
      </x:c>
      <x:c r="S19" s="2" t="n">
        <x:f>E8</x:f>
        <x:v>285917.8566433567</x:v>
      </x:c>
      <x:c r="T19" s="2"/>
    </x:row>
    <x:row r="20" ht="32" customHeight="1">
      <x:c r="A20" s="6" t="str">
        <x:v>Componente</x:v>
      </x:c>
      <x:c r="B20" s="6" t="str">
        <x:v>Tipo</x:v>
      </x:c>
      <x:c r="C20" s="6" t="str">
        <x:v>Importe USD</x:v>
      </x:c>
      <x:c r="D20" s="6" t="str">
        <x:v>2026-10</x:v>
      </x:c>
      <x:c r="E20" s="6" t="str">
        <x:v>2026-11</x:v>
      </x:c>
      <x:c r="F20" s="6" t="str">
        <x:v>2026-12</x:v>
      </x:c>
      <x:c r="G20" s="6" t="str">
        <x:v>2027-01</x:v>
      </x:c>
      <x:c r="H20" s="6" t="str">
        <x:v>2027-02</x:v>
      </x:c>
      <x:c r="I20" s="6" t="str">
        <x:v>2027-03</x:v>
      </x:c>
      <x:c r="J20" s="6" t="str">
        <x:v>2027-04</x:v>
      </x:c>
      <x:c r="K20" s="2"/>
      <x:c r="L20" s="2"/>
      <x:c r="M20" s="2"/>
      <x:c r="N20" s="2"/>
      <x:c r="O20" s="2"/>
      <x:c r="P20" s="2"/>
      <x:c r="Q20" s="2"/>
      <x:c r="R20" s="2" t="str">
        <x:v>2027-01</x:v>
      </x:c>
      <x:c r="S20" s="2" t="n">
        <x:f>E9</x:f>
        <x:v>300606.4440559441</x:v>
      </x:c>
      <x:c r="T20" s="2"/>
    </x:row>
    <x:row r="21" ht="24" customHeight="1">
      <x:c r="A21" s="2" t="str">
        <x:v>1.1</x:v>
      </x:c>
      <x:c r="B21" s="2" t="str">
        <x:v>Labor</x:v>
      </x:c>
      <x:c r="C21" s="20" t="n">
        <x:f>Tareas!E6</x:f>
        <x:v>1040</x:v>
      </x:c>
      <x:c r="D21" s="25" t="n">
        <x:v>1</x:v>
      </x:c>
      <x:c r="E21" s="25" t="n">
        <x:v>0</x:v>
      </x:c>
      <x:c r="F21" s="25" t="n">
        <x:v>0</x:v>
      </x:c>
      <x:c r="G21" s="25" t="n">
        <x:v>0</x:v>
      </x:c>
      <x:c r="H21" s="25" t="n">
        <x:v>0</x:v>
      </x:c>
      <x:c r="I21" s="25" t="n">
        <x:v>0</x:v>
      </x:c>
      <x:c r="J21" s="25" t="n">
        <x:v>0</x:v>
      </x:c>
      <x:c r="K21" s="2"/>
      <x:c r="L21" s="2"/>
      <x:c r="M21" s="2"/>
      <x:c r="N21" s="2"/>
      <x:c r="O21" s="2"/>
      <x:c r="P21" s="2"/>
      <x:c r="Q21" s="2"/>
      <x:c r="R21" s="2" t="str">
        <x:v>2027-02</x:v>
      </x:c>
      <x:c r="S21" s="2" t="n">
        <x:f>E10</x:f>
        <x:v>306152.77272727276</x:v>
      </x:c>
      <x:c r="T21" s="2"/>
    </x:row>
    <x:row r="22" ht="24" customHeight="1">
      <x:c r="A22" s="2" t="str">
        <x:v>1.2</x:v>
      </x:c>
      <x:c r="B22" s="2" t="str">
        <x:v>Labor</x:v>
      </x:c>
      <x:c r="C22" s="20" t="n">
        <x:f>Tareas!E7</x:f>
        <x:v>2136</x:v>
      </x:c>
      <x:c r="D22" s="25" t="n">
        <x:v>1</x:v>
      </x:c>
      <x:c r="E22" s="25" t="n">
        <x:v>0</x:v>
      </x:c>
      <x:c r="F22" s="25" t="n">
        <x:v>0</x:v>
      </x:c>
      <x:c r="G22" s="25" t="n">
        <x:v>0</x:v>
      </x:c>
      <x:c r="H22" s="25" t="n">
        <x:v>0</x:v>
      </x:c>
      <x:c r="I22" s="25" t="n">
        <x:v>0</x:v>
      </x:c>
      <x:c r="J22" s="25" t="n">
        <x:v>0</x:v>
      </x:c>
      <x:c r="K22" s="2"/>
      <x:c r="L22" s="2"/>
      <x:c r="M22" s="2"/>
      <x:c r="N22" s="2"/>
      <x:c r="O22" s="2"/>
      <x:c r="P22" s="2"/>
      <x:c r="Q22" s="2"/>
      <x:c r="R22" s="2" t="str">
        <x:v>2027-03</x:v>
      </x:c>
      <x:c r="S22" s="2" t="n">
        <x:f>E11</x:f>
        <x:v>345715.72377622384</x:v>
      </x:c>
      <x:c r="T22" s="2"/>
    </x:row>
    <x:row r="23" ht="24" customHeight="1">
      <x:c r="A23" s="2" t="str">
        <x:v>1.3</x:v>
      </x:c>
      <x:c r="B23" s="2" t="str">
        <x:v>Labor</x:v>
      </x:c>
      <x:c r="C23" s="20" t="n">
        <x:f>Tareas!E8</x:f>
        <x:v>935.9999999999999</x:v>
      </x:c>
      <x:c r="D23" s="25" t="n">
        <x:v>1</x:v>
      </x:c>
      <x:c r="E23" s="25" t="n">
        <x:v>0</x:v>
      </x:c>
      <x:c r="F23" s="25" t="n">
        <x:v>0</x:v>
      </x:c>
      <x:c r="G23" s="25" t="n">
        <x:v>0</x:v>
      </x:c>
      <x:c r="H23" s="25" t="n">
        <x:v>0</x:v>
      </x:c>
      <x:c r="I23" s="25" t="n">
        <x:v>0</x:v>
      </x:c>
      <x:c r="J23" s="25" t="n">
        <x:v>0</x:v>
      </x:c>
      <x:c r="K23" s="2"/>
      <x:c r="L23" s="2"/>
      <x:c r="M23" s="2"/>
      <x:c r="N23" s="2"/>
      <x:c r="O23" s="2"/>
      <x:c r="P23" s="2"/>
      <x:c r="Q23" s="2"/>
      <x:c r="R23" s="2" t="str">
        <x:v>2027-04</x:v>
      </x:c>
      <x:c r="S23" s="2" t="n">
        <x:f>E12</x:f>
        <x:v>394700.00000000006</x:v>
      </x:c>
      <x:c r="T23" s="2"/>
    </x:row>
    <x:row r="24" ht="24" customHeight="1">
      <x:c r="A24" s="2" t="str">
        <x:v>1.4</x:v>
      </x:c>
      <x:c r="B24" s="2" t="str">
        <x:v>Labor</x:v>
      </x:c>
      <x:c r="C24" s="20" t="n">
        <x:f>Tareas!E9</x:f>
        <x:v>600</x:v>
      </x:c>
      <x:c r="D24" s="25" t="n">
        <x:v>1</x:v>
      </x:c>
      <x:c r="E24" s="25" t="n">
        <x:v>0</x:v>
      </x:c>
      <x:c r="F24" s="25" t="n">
        <x:v>0</x:v>
      </x:c>
      <x:c r="G24" s="25" t="n">
        <x:v>0</x:v>
      </x:c>
      <x:c r="H24" s="25" t="n">
        <x:v>0</x:v>
      </x:c>
      <x:c r="I24" s="25" t="n">
        <x:v>0</x:v>
      </x:c>
      <x:c r="J24" s="25" t="n">
        <x:v>0</x:v>
      </x:c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24" customHeight="1">
      <x:c r="A25" s="2" t="str">
        <x:v>1.5</x:v>
      </x:c>
      <x:c r="B25" s="2" t="str">
        <x:v>Labor</x:v>
      </x:c>
      <x:c r="C25" s="20" t="n">
        <x:f>Tareas!E10</x:f>
        <x:v>34320</x:v>
      </x:c>
      <x:c r="D25" s="25" t="n">
        <x:v>0.09848484848484848</x:v>
      </x:c>
      <x:c r="E25" s="25" t="n">
        <x:v>0.15151515151515152</x:v>
      </x:c>
      <x:c r="F25" s="25" t="n">
        <x:v>0.15151515151515152</x:v>
      </x:c>
      <x:c r="G25" s="25" t="n">
        <x:v>0.15151515151515152</x:v>
      </x:c>
      <x:c r="H25" s="25" t="n">
        <x:v>0.13636363636363635</x:v>
      </x:c>
      <x:c r="I25" s="25" t="n">
        <x:v>0.15151515151515152</x:v>
      </x:c>
      <x:c r="J25" s="25" t="n">
        <x:v>0.1590909090909091</x:v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24" customHeight="1">
      <x:c r="A26" s="2" t="str">
        <x:v>1.6</x:v>
      </x:c>
      <x:c r="B26" s="2" t="str">
        <x:v>Labor</x:v>
      </x:c>
      <x:c r="C26" s="20" t="n">
        <x:f>Tareas!E11</x:f>
        <x:v>1020</x:v>
      </x:c>
      <x:c r="D26" s="25" t="n">
        <x:v>0</x:v>
      </x:c>
      <x:c r="E26" s="25" t="n">
        <x:v>0</x:v>
      </x:c>
      <x:c r="F26" s="25" t="n">
        <x:v>0</x:v>
      </x:c>
      <x:c r="G26" s="25" t="n">
        <x:v>0</x:v>
      </x:c>
      <x:c r="H26" s="25" t="n">
        <x:v>0</x:v>
      </x:c>
      <x:c r="I26" s="25" t="n">
        <x:v>0</x:v>
      </x:c>
      <x:c r="J26" s="25" t="n">
        <x:v>1</x:v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24" customHeight="1">
      <x:c r="A27" s="2" t="str">
        <x:v>2.1</x:v>
      </x:c>
      <x:c r="B27" s="2" t="str">
        <x:v>Labor</x:v>
      </x:c>
      <x:c r="C27" s="20" t="n">
        <x:f>Tareas!E12</x:f>
        <x:v>7060</x:v>
      </x:c>
      <x:c r="D27" s="25" t="n">
        <x:v>1</x:v>
      </x:c>
      <x:c r="E27" s="25" t="n">
        <x:v>0</x:v>
      </x:c>
      <x:c r="F27" s="25" t="n">
        <x:v>0</x:v>
      </x:c>
      <x:c r="G27" s="25" t="n">
        <x:v>0</x:v>
      </x:c>
      <x:c r="H27" s="25" t="n">
        <x:v>0</x:v>
      </x:c>
      <x:c r="I27" s="25" t="n">
        <x:v>0</x:v>
      </x:c>
      <x:c r="J27" s="25" t="n">
        <x:v>0</x:v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24" customHeight="1">
      <x:c r="A28" s="2" t="str">
        <x:v>2.2</x:v>
      </x:c>
      <x:c r="B28" s="2" t="str">
        <x:v>Labor</x:v>
      </x:c>
      <x:c r="C28" s="20" t="n">
        <x:f>Tareas!E13</x:f>
        <x:v>2655</x:v>
      </x:c>
      <x:c r="D28" s="25" t="n">
        <x:v>0.2</x:v>
      </x:c>
      <x:c r="E28" s="25" t="n">
        <x:v>0.8</x:v>
      </x:c>
      <x:c r="F28" s="25" t="n">
        <x:v>0</x:v>
      </x:c>
      <x:c r="G28" s="25" t="n">
        <x:v>0</x:v>
      </x:c>
      <x:c r="H28" s="25" t="n">
        <x:v>0</x:v>
      </x:c>
      <x:c r="I28" s="25" t="n">
        <x:v>0</x:v>
      </x:c>
      <x:c r="J28" s="25" t="n">
        <x:v>0</x:v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24" customHeight="1">
      <x:c r="A29" s="2" t="str">
        <x:v>2.3</x:v>
      </x:c>
      <x:c r="B29" s="2" t="str">
        <x:v>Labor</x:v>
      </x:c>
      <x:c r="C29" s="20" t="n">
        <x:f>Tareas!E14</x:f>
        <x:v>10728</x:v>
      </x:c>
      <x:c r="D29" s="25" t="n">
        <x:v>0.4444444444444444</x:v>
      </x:c>
      <x:c r="E29" s="25" t="n">
        <x:v>0.5555555555555556</x:v>
      </x:c>
      <x:c r="F29" s="25" t="n">
        <x:v>0</x:v>
      </x:c>
      <x:c r="G29" s="25" t="n">
        <x:v>0</x:v>
      </x:c>
      <x:c r="H29" s="25" t="n">
        <x:v>0</x:v>
      </x:c>
      <x:c r="I29" s="25" t="n">
        <x:v>0</x:v>
      </x:c>
      <x:c r="J29" s="25" t="n">
        <x:v>0</x:v>
      </x:c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24" customHeight="1">
      <x:c r="A30" s="2" t="str">
        <x:v>2.4</x:v>
      </x:c>
      <x:c r="B30" s="2" t="str">
        <x:v>Labor</x:v>
      </x:c>
      <x:c r="C30" s="20" t="n">
        <x:f>Tareas!E15</x:f>
        <x:v>8940</x:v>
      </x:c>
      <x:c r="D30" s="25" t="n">
        <x:v>0.2</x:v>
      </x:c>
      <x:c r="E30" s="25" t="n">
        <x:v>0.8</x:v>
      </x:c>
      <x:c r="F30" s="25" t="n">
        <x:v>0</x:v>
      </x:c>
      <x:c r="G30" s="25" t="n">
        <x:v>0</x:v>
      </x:c>
      <x:c r="H30" s="25" t="n">
        <x:v>0</x:v>
      </x:c>
      <x:c r="I30" s="25" t="n">
        <x:v>0</x:v>
      </x:c>
      <x:c r="J30" s="25" t="n">
        <x:v>0</x:v>
      </x:c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24" customHeight="1">
      <x:c r="A31" s="2" t="str">
        <x:v>2.5</x:v>
      </x:c>
      <x:c r="B31" s="2" t="str">
        <x:v>Labor</x:v>
      </x:c>
      <x:c r="C31" s="20" t="n">
        <x:f>Tareas!E16</x:f>
        <x:v>6144</x:v>
      </x:c>
      <x:c r="D31" s="25" t="n">
        <x:v>0</x:v>
      </x:c>
      <x:c r="E31" s="25" t="n">
        <x:v>0.8333333333333334</x:v>
      </x:c>
      <x:c r="F31" s="25" t="n">
        <x:v>0.16666666666666666</x:v>
      </x:c>
      <x:c r="G31" s="25" t="n">
        <x:v>0</x:v>
      </x:c>
      <x:c r="H31" s="25" t="n">
        <x:v>0</x:v>
      </x:c>
      <x:c r="I31" s="25" t="n">
        <x:v>0</x:v>
      </x:c>
      <x:c r="J31" s="25" t="n">
        <x:v>0</x:v>
      </x:c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4" customHeight="1">
      <x:c r="A32" s="2" t="str">
        <x:v>2.6</x:v>
      </x:c>
      <x:c r="B32" s="2" t="str">
        <x:v>Labor</x:v>
      </x:c>
      <x:c r="C32" s="20" t="n">
        <x:f>Tareas!E17</x:f>
        <x:v>9120</x:v>
      </x:c>
      <x:c r="D32" s="25" t="n">
        <x:v>0</x:v>
      </x:c>
      <x:c r="E32" s="25" t="n">
        <x:v>0</x:v>
      </x:c>
      <x:c r="F32" s="25" t="n">
        <x:v>1</x:v>
      </x:c>
      <x:c r="G32" s="25" t="n">
        <x:v>0</x:v>
      </x:c>
      <x:c r="H32" s="25" t="n">
        <x:v>0</x:v>
      </x:c>
      <x:c r="I32" s="25" t="n">
        <x:v>0</x:v>
      </x:c>
      <x:c r="J32" s="25" t="n">
        <x:v>0</x:v>
      </x:c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4" customHeight="1">
      <x:c r="A33" s="2" t="str">
        <x:v>2.7</x:v>
      </x:c>
      <x:c r="B33" s="2" t="str">
        <x:v>Labor</x:v>
      </x:c>
      <x:c r="C33" s="20" t="n">
        <x:f>Tareas!E18</x:f>
        <x:v>5220</x:v>
      </x:c>
      <x:c r="D33" s="25" t="n">
        <x:v>0.2</x:v>
      </x:c>
      <x:c r="E33" s="25" t="n">
        <x:v>0.8</x:v>
      </x:c>
      <x:c r="F33" s="25" t="n">
        <x:v>0</x:v>
      </x:c>
      <x:c r="G33" s="25" t="n">
        <x:v>0</x:v>
      </x:c>
      <x:c r="H33" s="25" t="n">
        <x:v>0</x:v>
      </x:c>
      <x:c r="I33" s="25" t="n">
        <x:v>0</x:v>
      </x:c>
      <x:c r="J33" s="25" t="n">
        <x:v>0</x:v>
      </x:c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4" customHeight="1">
      <x:c r="A34" s="2" t="str">
        <x:v>2.8</x:v>
      </x:c>
      <x:c r="B34" s="2" t="str">
        <x:v>Labor</x:v>
      </x:c>
      <x:c r="C34" s="20" t="n">
        <x:f>Tareas!E19</x:f>
        <x:v>2920</x:v>
      </x:c>
      <x:c r="D34" s="25" t="n">
        <x:v>0</x:v>
      </x:c>
      <x:c r="E34" s="25" t="n">
        <x:v>0.8</x:v>
      </x:c>
      <x:c r="F34" s="25" t="n">
        <x:v>0.2</x:v>
      </x:c>
      <x:c r="G34" s="25" t="n">
        <x:v>0</x:v>
      </x:c>
      <x:c r="H34" s="25" t="n">
        <x:v>0</x:v>
      </x:c>
      <x:c r="I34" s="25" t="n">
        <x:v>0</x:v>
      </x:c>
      <x:c r="J34" s="25" t="n">
        <x:v>0</x:v>
      </x:c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24" customHeight="1">
      <x:c r="A35" s="2" t="str">
        <x:v>2.9</x:v>
      </x:c>
      <x:c r="B35" s="2" t="str">
        <x:v>Labor</x:v>
      </x:c>
      <x:c r="C35" s="20" t="n">
        <x:f>Tareas!E20</x:f>
        <x:v>7656</x:v>
      </x:c>
      <x:c r="D35" s="25" t="n">
        <x:v>0</x:v>
      </x:c>
      <x:c r="E35" s="25" t="n">
        <x:v>0</x:v>
      </x:c>
      <x:c r="F35" s="25" t="n">
        <x:v>0.25</x:v>
      </x:c>
      <x:c r="G35" s="25" t="n">
        <x:v>0.75</x:v>
      </x:c>
      <x:c r="H35" s="25" t="n">
        <x:v>0</x:v>
      </x:c>
      <x:c r="I35" s="25" t="n">
        <x:v>0</x:v>
      </x:c>
      <x:c r="J35" s="25" t="n">
        <x:v>0</x:v>
      </x:c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4" customHeight="1">
      <x:c r="A36" s="2" t="str">
        <x:v>3.1</x:v>
      </x:c>
      <x:c r="B36" s="2" t="str">
        <x:v>Labor</x:v>
      </x:c>
      <x:c r="C36" s="20" t="n">
        <x:f>Tareas!E21</x:f>
        <x:v>12660</x:v>
      </x:c>
      <x:c r="D36" s="25" t="n">
        <x:v>1</x:v>
      </x:c>
      <x:c r="E36" s="25" t="n">
        <x:v>0</x:v>
      </x:c>
      <x:c r="F36" s="25" t="n">
        <x:v>0</x:v>
      </x:c>
      <x:c r="G36" s="25" t="n">
        <x:v>0</x:v>
      </x:c>
      <x:c r="H36" s="25" t="n">
        <x:v>0</x:v>
      </x:c>
      <x:c r="I36" s="25" t="n">
        <x:v>0</x:v>
      </x:c>
      <x:c r="J36" s="25" t="n">
        <x:v>0</x:v>
      </x:c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4" customHeight="1">
      <x:c r="A37" s="2" t="str">
        <x:v>3.2</x:v>
      </x:c>
      <x:c r="B37" s="2" t="str">
        <x:v>Labor</x:v>
      </x:c>
      <x:c r="C37" s="20" t="n">
        <x:f>Tareas!E22</x:f>
        <x:v>5370</x:v>
      </x:c>
      <x:c r="D37" s="25" t="n">
        <x:v>0.1</x:v>
      </x:c>
      <x:c r="E37" s="25" t="n">
        <x:v>0.9</x:v>
      </x:c>
      <x:c r="F37" s="25" t="n">
        <x:v>0</x:v>
      </x:c>
      <x:c r="G37" s="25" t="n">
        <x:v>0</x:v>
      </x:c>
      <x:c r="H37" s="25" t="n">
        <x:v>0</x:v>
      </x:c>
      <x:c r="I37" s="25" t="n">
        <x:v>0</x:v>
      </x:c>
      <x:c r="J37" s="25" t="n">
        <x:v>0</x:v>
      </x:c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4" customHeight="1">
      <x:c r="A38" s="2" t="str">
        <x:v>3.3</x:v>
      </x:c>
      <x:c r="B38" s="2" t="str">
        <x:v>Labor</x:v>
      </x:c>
      <x:c r="C38" s="20" t="n">
        <x:f>Tareas!E23</x:f>
        <x:v>5180</x:v>
      </x:c>
      <x:c r="D38" s="25" t="n">
        <x:v>0.1</x:v>
      </x:c>
      <x:c r="E38" s="25" t="n">
        <x:v>0.9</x:v>
      </x:c>
      <x:c r="F38" s="25" t="n">
        <x:v>0</x:v>
      </x:c>
      <x:c r="G38" s="25" t="n">
        <x:v>0</x:v>
      </x:c>
      <x:c r="H38" s="25" t="n">
        <x:v>0</x:v>
      </x:c>
      <x:c r="I38" s="25" t="n">
        <x:v>0</x:v>
      </x:c>
      <x:c r="J38" s="25" t="n">
        <x:v>0</x:v>
      </x:c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4" customHeight="1">
      <x:c r="A39" s="2" t="str">
        <x:v>3.4</x:v>
      </x:c>
      <x:c r="B39" s="2" t="str">
        <x:v>Labor</x:v>
      </x:c>
      <x:c r="C39" s="20" t="n">
        <x:f>Tareas!E24</x:f>
        <x:v>8820</x:v>
      </x:c>
      <x:c r="D39" s="25" t="n">
        <x:v>0</x:v>
      </x:c>
      <x:c r="E39" s="25" t="n">
        <x:v>0.7333333333333333</x:v>
      </x:c>
      <x:c r="F39" s="25" t="n">
        <x:v>0.26666666666666666</x:v>
      </x:c>
      <x:c r="G39" s="25" t="n">
        <x:v>0</x:v>
      </x:c>
      <x:c r="H39" s="25" t="n">
        <x:v>0</x:v>
      </x:c>
      <x:c r="I39" s="25" t="n">
        <x:v>0</x:v>
      </x:c>
      <x:c r="J39" s="25" t="n">
        <x:v>0</x:v>
      </x:c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4" customHeight="1">
      <x:c r="A40" s="2" t="str">
        <x:v>3.5</x:v>
      </x:c>
      <x:c r="B40" s="2" t="str">
        <x:v>Labor</x:v>
      </x:c>
      <x:c r="C40" s="20" t="n">
        <x:f>Tareas!E25</x:f>
        <x:v>8352</x:v>
      </x:c>
      <x:c r="D40" s="25" t="n">
        <x:v>0</x:v>
      </x:c>
      <x:c r="E40" s="25" t="n">
        <x:v>0</x:v>
      </x:c>
      <x:c r="F40" s="25" t="n">
        <x:v>0.6666666666666666</x:v>
      </x:c>
      <x:c r="G40" s="25" t="n">
        <x:v>0.3333333333333333</x:v>
      </x:c>
      <x:c r="H40" s="25" t="n">
        <x:v>0</x:v>
      </x:c>
      <x:c r="I40" s="25" t="n">
        <x:v>0</x:v>
      </x:c>
      <x:c r="J40" s="25" t="n">
        <x:v>0</x:v>
      </x:c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4" customHeight="1">
      <x:c r="A41" s="2" t="str">
        <x:v>4.1</x:v>
      </x:c>
      <x:c r="B41" s="2" t="str">
        <x:v>Labor</x:v>
      </x:c>
      <x:c r="C41" s="20" t="n">
        <x:f>Tareas!E26</x:f>
        <x:v>4640</x:v>
      </x:c>
      <x:c r="D41" s="25" t="n">
        <x:v>1</x:v>
      </x:c>
      <x:c r="E41" s="25" t="n">
        <x:v>0</x:v>
      </x:c>
      <x:c r="F41" s="25" t="n">
        <x:v>0</x:v>
      </x:c>
      <x:c r="G41" s="25" t="n">
        <x:v>0</x:v>
      </x:c>
      <x:c r="H41" s="25" t="n">
        <x:v>0</x:v>
      </x:c>
      <x:c r="I41" s="25" t="n">
        <x:v>0</x:v>
      </x:c>
      <x:c r="J41" s="25" t="n">
        <x:v>0</x:v>
      </x:c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4" customHeight="1">
      <x:c r="A42" s="2" t="str">
        <x:v>4.2</x:v>
      </x:c>
      <x:c r="B42" s="2" t="str">
        <x:v>Labor</x:v>
      </x:c>
      <x:c r="C42" s="20" t="n">
        <x:f>Tareas!E27</x:f>
        <x:v>4640</x:v>
      </x:c>
      <x:c r="D42" s="25" t="n">
        <x:v>0.4</x:v>
      </x:c>
      <x:c r="E42" s="25" t="n">
        <x:v>0.6</x:v>
      </x:c>
      <x:c r="F42" s="25" t="n">
        <x:v>0</x:v>
      </x:c>
      <x:c r="G42" s="25" t="n">
        <x:v>0</x:v>
      </x:c>
      <x:c r="H42" s="25" t="n">
        <x:v>0</x:v>
      </x:c>
      <x:c r="I42" s="25" t="n">
        <x:v>0</x:v>
      </x:c>
      <x:c r="J42" s="25" t="n">
        <x:v>0</x:v>
      </x:c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 ht="24" customHeight="1">
      <x:c r="A43" s="2" t="str">
        <x:v>4.3</x:v>
      </x:c>
      <x:c r="B43" s="2" t="str">
        <x:v>Labor</x:v>
      </x:c>
      <x:c r="C43" s="20" t="n">
        <x:f>Tareas!E28</x:f>
        <x:v>7200</x:v>
      </x:c>
      <x:c r="D43" s="25" t="n">
        <x:v>0</x:v>
      </x:c>
      <x:c r="E43" s="25" t="n">
        <x:v>0</x:v>
      </x:c>
      <x:c r="F43" s="25" t="n">
        <x:v>0</x:v>
      </x:c>
      <x:c r="G43" s="25" t="n">
        <x:v>0</x:v>
      </x:c>
      <x:c r="H43" s="25" t="n">
        <x:v>0</x:v>
      </x:c>
      <x:c r="I43" s="25" t="n">
        <x:v>1</x:v>
      </x:c>
      <x:c r="J43" s="25" t="n">
        <x:v>0</x:v>
      </x:c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 ht="24" customHeight="1">
      <x:c r="A44" s="2" t="str">
        <x:v>4.4</x:v>
      </x:c>
      <x:c r="B44" s="2" t="str">
        <x:v>Labor</x:v>
      </x:c>
      <x:c r="C44" s="20" t="n">
        <x:f>Tareas!E29</x:f>
        <x:v>6960</x:v>
      </x:c>
      <x:c r="D44" s="25" t="n">
        <x:v>0</x:v>
      </x:c>
      <x:c r="E44" s="25" t="n">
        <x:v>0.9333333333333333</x:v>
      </x:c>
      <x:c r="F44" s="25" t="n">
        <x:v>0.06666666666666667</x:v>
      </x:c>
      <x:c r="G44" s="25" t="n">
        <x:v>0</x:v>
      </x:c>
      <x:c r="H44" s="25" t="n">
        <x:v>0</x:v>
      </x:c>
      <x:c r="I44" s="25" t="n">
        <x:v>0</x:v>
      </x:c>
      <x:c r="J44" s="25" t="n">
        <x:v>0</x:v>
      </x:c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 ht="24" customHeight="1">
      <x:c r="A45" s="2" t="str">
        <x:v>4.5</x:v>
      </x:c>
      <x:c r="B45" s="2" t="str">
        <x:v>Labor</x:v>
      </x:c>
      <x:c r="C45" s="20" t="n">
        <x:f>Tareas!E30</x:f>
        <x:v>4640</x:v>
      </x:c>
      <x:c r="D45" s="25" t="n">
        <x:v>0</x:v>
      </x:c>
      <x:c r="E45" s="25" t="n">
        <x:v>0</x:v>
      </x:c>
      <x:c r="F45" s="25" t="n">
        <x:v>1</x:v>
      </x:c>
      <x:c r="G45" s="25" t="n">
        <x:v>0</x:v>
      </x:c>
      <x:c r="H45" s="25" t="n">
        <x:v>0</x:v>
      </x:c>
      <x:c r="I45" s="25" t="n">
        <x:v>0</x:v>
      </x:c>
      <x:c r="J45" s="25" t="n">
        <x:v>0</x:v>
      </x:c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  <x:row r="46" ht="24" customHeight="1">
      <x:c r="A46" s="2" t="str">
        <x:v>5.1</x:v>
      </x:c>
      <x:c r="B46" s="2" t="str">
        <x:v>Labor</x:v>
      </x:c>
      <x:c r="C46" s="20" t="n">
        <x:f>Tareas!E31</x:f>
        <x:v>4416.000000000001</x:v>
      </x:c>
      <x:c r="D46" s="25" t="n">
        <x:v>1</x:v>
      </x:c>
      <x:c r="E46" s="25" t="n">
        <x:v>0</x:v>
      </x:c>
      <x:c r="F46" s="25" t="n">
        <x:v>0</x:v>
      </x:c>
      <x:c r="G46" s="25" t="n">
        <x:v>0</x:v>
      </x:c>
      <x:c r="H46" s="25" t="n">
        <x:v>0</x:v>
      </x:c>
      <x:c r="I46" s="25" t="n">
        <x:v>0</x:v>
      </x:c>
      <x:c r="J46" s="25" t="n">
        <x:v>0</x:v>
      </x:c>
      <x:c r="K46" s="2"/>
      <x:c r="L46" s="2"/>
      <x:c r="M46" s="2"/>
      <x:c r="N46" s="2"/>
      <x:c r="O46" s="2"/>
      <x:c r="P46" s="2"/>
      <x:c r="Q46" s="2"/>
      <x:c r="R46" s="2"/>
      <x:c r="S46" s="2"/>
      <x:c r="T46" s="2"/>
    </x:row>
    <x:row r="47" ht="24" customHeight="1">
      <x:c r="A47" s="2" t="str">
        <x:v>5.2</x:v>
      </x:c>
      <x:c r="B47" s="2" t="str">
        <x:v>Labor</x:v>
      </x:c>
      <x:c r="C47" s="20" t="n">
        <x:f>Tareas!E32</x:f>
        <x:v>17680</x:v>
      </x:c>
      <x:c r="D47" s="25" t="n">
        <x:v>0</x:v>
      </x:c>
      <x:c r="E47" s="25" t="n">
        <x:v>0.4</x:v>
      </x:c>
      <x:c r="F47" s="25" t="n">
        <x:v>0.6</x:v>
      </x:c>
      <x:c r="G47" s="25" t="n">
        <x:v>0</x:v>
      </x:c>
      <x:c r="H47" s="25" t="n">
        <x:v>0</x:v>
      </x:c>
      <x:c r="I47" s="25" t="n">
        <x:v>0</x:v>
      </x:c>
      <x:c r="J47" s="25" t="n">
        <x:v>0</x:v>
      </x:c>
      <x:c r="K47" s="2"/>
      <x:c r="L47" s="2"/>
      <x:c r="M47" s="2"/>
      <x:c r="N47" s="2"/>
      <x:c r="O47" s="2"/>
      <x:c r="P47" s="2"/>
      <x:c r="Q47" s="2"/>
      <x:c r="R47" s="2"/>
      <x:c r="S47" s="2"/>
      <x:c r="T47" s="2"/>
    </x:row>
    <x:row r="48" ht="24" customHeight="1">
      <x:c r="A48" s="2" t="str">
        <x:v>5.3</x:v>
      </x:c>
      <x:c r="B48" s="2" t="str">
        <x:v>Labor</x:v>
      </x:c>
      <x:c r="C48" s="20" t="n">
        <x:f>Tareas!E33</x:f>
        <x:v>7623</x:v>
      </x:c>
      <x:c r="D48" s="25" t="n">
        <x:v>0</x:v>
      </x:c>
      <x:c r="E48" s="25" t="n">
        <x:v>0</x:v>
      </x:c>
      <x:c r="F48" s="25" t="n">
        <x:v>0</x:v>
      </x:c>
      <x:c r="G48" s="25" t="n">
        <x:v>0</x:v>
      </x:c>
      <x:c r="H48" s="25" t="n">
        <x:v>0</x:v>
      </x:c>
      <x:c r="I48" s="25" t="n">
        <x:v>1</x:v>
      </x:c>
      <x:c r="J48" s="25" t="n">
        <x:v>0</x:v>
      </x:c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 ht="24" customHeight="1">
      <x:c r="A49" s="2" t="str">
        <x:v>5.4</x:v>
      </x:c>
      <x:c r="B49" s="2" t="str">
        <x:v>Labor</x:v>
      </x:c>
      <x:c r="C49" s="20" t="n">
        <x:f>Tareas!E34</x:f>
        <x:v>30780</x:v>
      </x:c>
      <x:c r="D49" s="25" t="n">
        <x:v>0</x:v>
      </x:c>
      <x:c r="E49" s="25" t="n">
        <x:v>0</x:v>
      </x:c>
      <x:c r="F49" s="25" t="n">
        <x:v>0</x:v>
      </x:c>
      <x:c r="G49" s="25" t="n">
        <x:v>0</x:v>
      </x:c>
      <x:c r="H49" s="25" t="n">
        <x:v>0</x:v>
      </x:c>
      <x:c r="I49" s="25" t="n">
        <x:v>0.05</x:v>
      </x:c>
      <x:c r="J49" s="25" t="n">
        <x:v>0.95</x:v>
      </x:c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t="24" customHeight="1">
      <x:c r="A50" s="2" t="str">
        <x:v>5.5</x:v>
      </x:c>
      <x:c r="B50" s="2" t="str">
        <x:v>Labor</x:v>
      </x:c>
      <x:c r="C50" s="20" t="n">
        <x:f>Tareas!E35</x:f>
        <x:v>3780</x:v>
      </x:c>
      <x:c r="D50" s="25" t="n">
        <x:v>0</x:v>
      </x:c>
      <x:c r="E50" s="25" t="n">
        <x:v>0</x:v>
      </x:c>
      <x:c r="F50" s="25" t="n">
        <x:v>0</x:v>
      </x:c>
      <x:c r="G50" s="25" t="n">
        <x:v>0</x:v>
      </x:c>
      <x:c r="H50" s="25" t="n">
        <x:v>0</x:v>
      </x:c>
      <x:c r="I50" s="25" t="n">
        <x:v>0</x:v>
      </x:c>
      <x:c r="J50" s="25" t="n">
        <x:v>1</x:v>
      </x:c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 ht="24" customHeight="1">
      <x:c r="A51" s="2" t="str">
        <x:v>5.6</x:v>
      </x:c>
      <x:c r="B51" s="2" t="str">
        <x:v>Labor</x:v>
      </x:c>
      <x:c r="C51" s="20" t="n">
        <x:f>Tareas!E36</x:f>
        <x:v>2690</x:v>
      </x:c>
      <x:c r="D51" s="25" t="n">
        <x:v>0</x:v>
      </x:c>
      <x:c r="E51" s="25" t="n">
        <x:v>0</x:v>
      </x:c>
      <x:c r="F51" s="25" t="n">
        <x:v>0</x:v>
      </x:c>
      <x:c r="G51" s="25" t="n">
        <x:v>0</x:v>
      </x:c>
      <x:c r="H51" s="25" t="n">
        <x:v>0</x:v>
      </x:c>
      <x:c r="I51" s="25" t="n">
        <x:v>0</x:v>
      </x:c>
      <x:c r="J51" s="25" t="n">
        <x:v>1</x:v>
      </x:c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  <x:row r="52" ht="24" customHeight="1">
      <x:c r="A52" s="2" t="str">
        <x:v>P-1</x:v>
      </x:c>
      <x:c r="B52" s="2" t="str">
        <x:v>Partida</x:v>
      </x:c>
      <x:c r="C52" s="20" t="n">
        <x:f>Partidas!F6</x:f>
        <x:v>108000</x:v>
      </x:c>
      <x:c r="D52" s="25" t="n">
        <x:v>1</x:v>
      </x:c>
      <x:c r="E52" s="25" t="n">
        <x:v>0</x:v>
      </x:c>
      <x:c r="F52" s="25" t="n">
        <x:v>0</x:v>
      </x:c>
      <x:c r="G52" s="25" t="n">
        <x:v>0</x:v>
      </x:c>
      <x:c r="H52" s="25" t="n">
        <x:v>0</x:v>
      </x:c>
      <x:c r="I52" s="25" t="n">
        <x:v>0</x:v>
      </x:c>
      <x:c r="J52" s="25" t="n">
        <x:v>0</x:v>
      </x:c>
      <x:c r="K52" s="2"/>
      <x:c r="L52" s="2"/>
      <x:c r="M52" s="2"/>
      <x:c r="N52" s="2"/>
      <x:c r="O52" s="2"/>
      <x:c r="P52" s="2"/>
      <x:c r="Q52" s="2"/>
      <x:c r="R52" s="2"/>
      <x:c r="S52" s="2"/>
      <x:c r="T52" s="2"/>
    </x:row>
    <x:row r="53" ht="24" customHeight="1">
      <x:c r="A53" s="2" t="str">
        <x:v>P-2a</x:v>
      </x:c>
      <x:c r="B53" s="2" t="str">
        <x:v>Partida</x:v>
      </x:c>
      <x:c r="C53" s="20" t="n">
        <x:f>Partidas!F7</x:f>
        <x:v>1050</x:v>
      </x:c>
      <x:c r="D53" s="25" t="n">
        <x:v>0.09848484848484848</x:v>
      </x:c>
      <x:c r="E53" s="25" t="n">
        <x:v>0.15151515151515152</x:v>
      </x:c>
      <x:c r="F53" s="25" t="n">
        <x:v>0.15151515151515152</x:v>
      </x:c>
      <x:c r="G53" s="25" t="n">
        <x:v>0.15151515151515152</x:v>
      </x:c>
      <x:c r="H53" s="25" t="n">
        <x:v>0.13636363636363635</x:v>
      </x:c>
      <x:c r="I53" s="25" t="n">
        <x:v>0.15151515151515152</x:v>
      </x:c>
      <x:c r="J53" s="25" t="n">
        <x:v>0.1590909090909091</x:v>
      </x:c>
      <x:c r="K53" s="2"/>
      <x:c r="L53" s="2"/>
      <x:c r="M53" s="2"/>
      <x:c r="N53" s="2"/>
      <x:c r="O53" s="2"/>
      <x:c r="P53" s="2"/>
      <x:c r="Q53" s="2"/>
      <x:c r="R53" s="2"/>
      <x:c r="S53" s="2"/>
      <x:c r="T53" s="2"/>
    </x:row>
    <x:row r="54" ht="24" customHeight="1">
      <x:c r="A54" s="2" t="str">
        <x:v>P-2b</x:v>
      </x:c>
      <x:c r="B54" s="2" t="str">
        <x:v>Partida</x:v>
      </x:c>
      <x:c r="C54" s="20" t="n">
        <x:f>Partidas!F8</x:f>
        <x:v>1500</x:v>
      </x:c>
      <x:c r="D54" s="25" t="n">
        <x:v>0.1</x:v>
      </x:c>
      <x:c r="E54" s="25" t="n">
        <x:v>0.15384615384615385</x:v>
      </x:c>
      <x:c r="F54" s="25" t="n">
        <x:v>0.15384615384615385</x:v>
      </x:c>
      <x:c r="G54" s="25" t="n">
        <x:v>0.15384615384615385</x:v>
      </x:c>
      <x:c r="H54" s="25" t="n">
        <x:v>0.13846153846153847</x:v>
      </x:c>
      <x:c r="I54" s="25" t="n">
        <x:v>0.15384615384615385</x:v>
      </x:c>
      <x:c r="J54" s="25" t="n">
        <x:v>0.14615384615384616</x:v>
      </x:c>
      <x:c r="K54" s="2"/>
      <x:c r="L54" s="2"/>
      <x:c r="M54" s="2"/>
      <x:c r="N54" s="2"/>
      <x:c r="O54" s="2"/>
      <x:c r="P54" s="2"/>
      <x:c r="Q54" s="2"/>
      <x:c r="R54" s="2"/>
      <x:c r="S54" s="2"/>
      <x:c r="T54" s="2"/>
    </x:row>
    <x:row r="55" ht="24" customHeight="1">
      <x:c r="A55" s="2" t="str">
        <x:v>P-2c</x:v>
      </x:c>
      <x:c r="B55" s="2" t="str">
        <x:v>Partida</x:v>
      </x:c>
      <x:c r="C55" s="20" t="n">
        <x:f>Partidas!F9</x:f>
        <x:v>844</x:v>
      </x:c>
      <x:c r="D55" s="25" t="n">
        <x:v>0</x:v>
      </x:c>
      <x:c r="E55" s="25" t="n">
        <x:v>0</x:v>
      </x:c>
      <x:c r="F55" s="25" t="n">
        <x:v>0</x:v>
      </x:c>
      <x:c r="G55" s="25" t="n">
        <x:v>0</x:v>
      </x:c>
      <x:c r="H55" s="25" t="n">
        <x:v>0</x:v>
      </x:c>
      <x:c r="I55" s="25" t="n">
        <x:v>0.045454545454545456</x:v>
      </x:c>
      <x:c r="J55" s="25" t="n">
        <x:v>0.9545454545454546</x:v>
      </x:c>
      <x:c r="K55" s="2"/>
      <x:c r="L55" s="2"/>
      <x:c r="M55" s="2"/>
      <x:c r="N55" s="2"/>
      <x:c r="O55" s="2"/>
      <x:c r="P55" s="2"/>
      <x:c r="Q55" s="2"/>
      <x:c r="R55" s="2"/>
      <x:c r="S55" s="2"/>
      <x:c r="T55" s="2"/>
    </x:row>
    <x:row r="56" ht="24" customHeight="1">
      <x:c r="A56" s="2" t="str">
        <x:v>P-2d</x:v>
      </x:c>
      <x:c r="B56" s="2" t="str">
        <x:v>Partida</x:v>
      </x:c>
      <x:c r="C56" s="20" t="n">
        <x:f>Partidas!F10</x:f>
        <x:v>2100</x:v>
      </x:c>
      <x:c r="D56" s="25" t="n">
        <x:v>0.09848484848484848</x:v>
      </x:c>
      <x:c r="E56" s="25" t="n">
        <x:v>0.15151515151515152</x:v>
      </x:c>
      <x:c r="F56" s="25" t="n">
        <x:v>0.15151515151515152</x:v>
      </x:c>
      <x:c r="G56" s="25" t="n">
        <x:v>0.15151515151515152</x:v>
      </x:c>
      <x:c r="H56" s="25" t="n">
        <x:v>0.13636363636363635</x:v>
      </x:c>
      <x:c r="I56" s="25" t="n">
        <x:v>0.15151515151515152</x:v>
      </x:c>
      <x:c r="J56" s="25" t="n">
        <x:v>0.1590909090909091</x:v>
      </x:c>
      <x:c r="K56" s="2"/>
      <x:c r="L56" s="2"/>
      <x:c r="M56" s="2"/>
      <x:c r="N56" s="2"/>
      <x:c r="O56" s="2"/>
      <x:c r="P56" s="2"/>
      <x:c r="Q56" s="2"/>
      <x:c r="R56" s="2"/>
      <x:c r="S56" s="2"/>
      <x:c r="T56" s="2"/>
    </x:row>
    <x:row r="57" ht="24" customHeight="1">
      <x:c r="A57" s="2" t="str">
        <x:v>P-2e</x:v>
      </x:c>
      <x:c r="B57" s="2" t="str">
        <x:v>Partida</x:v>
      </x:c>
      <x:c r="C57" s="20" t="n">
        <x:f>Partidas!F11</x:f>
        <x:v>1680</x:v>
      </x:c>
      <x:c r="D57" s="25" t="n">
        <x:v>0.09848484848484848</x:v>
      </x:c>
      <x:c r="E57" s="25" t="n">
        <x:v>0.15151515151515152</x:v>
      </x:c>
      <x:c r="F57" s="25" t="n">
        <x:v>0.15151515151515152</x:v>
      </x:c>
      <x:c r="G57" s="25" t="n">
        <x:v>0.15151515151515152</x:v>
      </x:c>
      <x:c r="H57" s="25" t="n">
        <x:v>0.13636363636363635</x:v>
      </x:c>
      <x:c r="I57" s="25" t="n">
        <x:v>0.15151515151515152</x:v>
      </x:c>
      <x:c r="J57" s="25" t="n">
        <x:v>0.1590909090909091</x:v>
      </x:c>
      <x:c r="K57" s="2"/>
      <x:c r="L57" s="2"/>
      <x:c r="M57" s="2"/>
      <x:c r="N57" s="2"/>
      <x:c r="O57" s="2"/>
      <x:c r="P57" s="2"/>
      <x:c r="Q57" s="2"/>
      <x:c r="R57" s="2"/>
      <x:c r="S57" s="2"/>
      <x:c r="T57" s="2"/>
    </x:row>
    <x:row r="58" ht="24" customHeight="1">
      <x:c r="A58" s="2" t="str">
        <x:v>P-3a</x:v>
      </x:c>
      <x:c r="B58" s="2" t="str">
        <x:v>Partida</x:v>
      </x:c>
      <x:c r="C58" s="20" t="n">
        <x:f>Partidas!F12</x:f>
        <x:v>3600</x:v>
      </x:c>
      <x:c r="D58" s="25" t="n">
        <x:v>0</x:v>
      </x:c>
      <x:c r="E58" s="25" t="n">
        <x:v>0</x:v>
      </x:c>
      <x:c r="F58" s="25" t="n">
        <x:v>0</x:v>
      </x:c>
      <x:c r="G58" s="25" t="n">
        <x:v>0</x:v>
      </x:c>
      <x:c r="H58" s="25" t="n">
        <x:v>0</x:v>
      </x:c>
      <x:c r="I58" s="25" t="n">
        <x:v>1</x:v>
      </x:c>
      <x:c r="J58" s="25" t="n">
        <x:v>0</x:v>
      </x:c>
      <x:c r="K58" s="2"/>
      <x:c r="L58" s="2"/>
      <x:c r="M58" s="2"/>
      <x:c r="N58" s="2"/>
      <x:c r="O58" s="2"/>
      <x:c r="P58" s="2"/>
      <x:c r="Q58" s="2"/>
      <x:c r="R58" s="2"/>
      <x:c r="S58" s="2"/>
      <x:c r="T58" s="2"/>
    </x:row>
    <x:row r="59" ht="24" customHeight="1">
      <x:c r="A59" s="2" t="str">
        <x:v>P-3b</x:v>
      </x:c>
      <x:c r="B59" s="2" t="str">
        <x:v>Partida</x:v>
      </x:c>
      <x:c r="C59" s="20" t="n">
        <x:f>Partidas!F13</x:f>
        <x:v>3600</x:v>
      </x:c>
      <x:c r="D59" s="25" t="n">
        <x:v>0</x:v>
      </x:c>
      <x:c r="E59" s="25" t="n">
        <x:v>0.56</x:v>
      </x:c>
      <x:c r="F59" s="25" t="n">
        <x:v>0.44</x:v>
      </x:c>
      <x:c r="G59" s="25" t="n">
        <x:v>0</x:v>
      </x:c>
      <x:c r="H59" s="25" t="n">
        <x:v>0</x:v>
      </x:c>
      <x:c r="I59" s="25" t="n">
        <x:v>0</x:v>
      </x:c>
      <x:c r="J59" s="25" t="n">
        <x:v>0</x:v>
      </x:c>
      <x:c r="K59" s="2"/>
      <x:c r="L59" s="2"/>
      <x:c r="M59" s="2"/>
      <x:c r="N59" s="2"/>
      <x:c r="O59" s="2"/>
      <x:c r="P59" s="2"/>
      <x:c r="Q59" s="2"/>
      <x:c r="R59" s="2"/>
      <x:c r="S59" s="2"/>
      <x:c r="T59" s="2"/>
    </x:row>
    <x:row r="60" ht="24" customHeight="1">
      <x:c r="A60" s="2" t="str">
        <x:v>P-3c</x:v>
      </x:c>
      <x:c r="B60" s="2" t="str">
        <x:v>Partida</x:v>
      </x:c>
      <x:c r="C60" s="20" t="n">
        <x:f>Partidas!F14</x:f>
        <x:v>3600</x:v>
      </x:c>
      <x:c r="D60" s="25" t="n">
        <x:v>0</x:v>
      </x:c>
      <x:c r="E60" s="25" t="n">
        <x:v>0</x:v>
      </x:c>
      <x:c r="F60" s="25" t="n">
        <x:v>0</x:v>
      </x:c>
      <x:c r="G60" s="25" t="n">
        <x:v>0</x:v>
      </x:c>
      <x:c r="H60" s="25" t="n">
        <x:v>0</x:v>
      </x:c>
      <x:c r="I60" s="25" t="n">
        <x:v>1</x:v>
      </x:c>
      <x:c r="J60" s="25" t="n">
        <x:v>0</x:v>
      </x:c>
      <x:c r="K60" s="2"/>
      <x:c r="L60" s="2"/>
      <x:c r="M60" s="2"/>
      <x:c r="N60" s="2"/>
      <x:c r="O60" s="2"/>
      <x:c r="P60" s="2"/>
      <x:c r="Q60" s="2"/>
      <x:c r="R60" s="2"/>
      <x:c r="S60" s="2"/>
      <x:c r="T60" s="2"/>
    </x:row>
    <x:row r="61" ht="24" customHeight="1">
      <x:c r="A61" s="2" t="str">
        <x:v>P-3d</x:v>
      </x:c>
      <x:c r="B61" s="2" t="str">
        <x:v>Partida</x:v>
      </x:c>
      <x:c r="C61" s="20" t="n">
        <x:f>Partidas!F15</x:f>
        <x:v>900</x:v>
      </x:c>
      <x:c r="D61" s="25" t="n">
        <x:v>1</x:v>
      </x:c>
      <x:c r="E61" s="25" t="n">
        <x:v>0</x:v>
      </x:c>
      <x:c r="F61" s="25" t="n">
        <x:v>0</x:v>
      </x:c>
      <x:c r="G61" s="25" t="n">
        <x:v>0</x:v>
      </x:c>
      <x:c r="H61" s="25" t="n">
        <x:v>0</x:v>
      </x:c>
      <x:c r="I61" s="25" t="n">
        <x:v>0</x:v>
      </x:c>
      <x:c r="J61" s="25" t="n">
        <x:v>0</x:v>
      </x:c>
      <x:c r="K61" s="2"/>
      <x:c r="L61" s="2"/>
      <x:c r="M61" s="2"/>
      <x:c r="N61" s="2"/>
      <x:c r="O61" s="2"/>
      <x:c r="P61" s="2"/>
      <x:c r="Q61" s="2"/>
      <x:c r="R61" s="2"/>
      <x:c r="S61" s="2"/>
      <x:c r="T61" s="2"/>
    </x:row>
    <x:row r="62" ht="24" customHeight="1">
      <x:c r="A62" s="2" t="str">
        <x:v>P-4a</x:v>
      </x:c>
      <x:c r="B62" s="2" t="str">
        <x:v>Partida</x:v>
      </x:c>
      <x:c r="C62" s="20" t="n">
        <x:f>Partidas!F16</x:f>
        <x:v>7500</x:v>
      </x:c>
      <x:c r="D62" s="25" t="n">
        <x:v>0</x:v>
      </x:c>
      <x:c r="E62" s="25" t="n">
        <x:v>0.7333333333333333</x:v>
      </x:c>
      <x:c r="F62" s="25" t="n">
        <x:v>0.26666666666666666</x:v>
      </x:c>
      <x:c r="G62" s="25" t="n">
        <x:v>0</x:v>
      </x:c>
      <x:c r="H62" s="25" t="n">
        <x:v>0</x:v>
      </x:c>
      <x:c r="I62" s="25" t="n">
        <x:v>0</x:v>
      </x:c>
      <x:c r="J62" s="25" t="n">
        <x:v>0</x:v>
      </x:c>
      <x:c r="K62" s="2"/>
      <x:c r="L62" s="2"/>
      <x:c r="M62" s="2"/>
      <x:c r="N62" s="2"/>
      <x:c r="O62" s="2"/>
      <x:c r="P62" s="2"/>
      <x:c r="Q62" s="2"/>
      <x:c r="R62" s="2"/>
      <x:c r="S62" s="2"/>
      <x:c r="T62" s="2"/>
    </x:row>
    <x:row r="63" ht="24" customHeight="1">
      <x:c r="A63" s="2" t="str">
        <x:v>P-4b</x:v>
      </x:c>
      <x:c r="B63" s="2" t="str">
        <x:v>Partida</x:v>
      </x:c>
      <x:c r="C63" s="20" t="n">
        <x:f>Partidas!F17</x:f>
        <x:v>2400</x:v>
      </x:c>
      <x:c r="D63" s="25" t="n">
        <x:v>0.1</x:v>
      </x:c>
      <x:c r="E63" s="25" t="n">
        <x:v>0.9</x:v>
      </x:c>
      <x:c r="F63" s="25" t="n">
        <x:v>0</x:v>
      </x:c>
      <x:c r="G63" s="25" t="n">
        <x:v>0</x:v>
      </x:c>
      <x:c r="H63" s="25" t="n">
        <x:v>0</x:v>
      </x:c>
      <x:c r="I63" s="25" t="n">
        <x:v>0</x:v>
      </x:c>
      <x:c r="J63" s="25" t="n">
        <x:v>0</x:v>
      </x:c>
      <x:c r="K63" s="2"/>
      <x:c r="L63" s="2"/>
      <x:c r="M63" s="2"/>
      <x:c r="N63" s="2"/>
      <x:c r="O63" s="2"/>
      <x:c r="P63" s="2"/>
      <x:c r="Q63" s="2"/>
      <x:c r="R63" s="2"/>
      <x:c r="S63" s="2"/>
      <x:c r="T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</x:row>
    <x:row r="100" ht="24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</x:row>
    <x:row r="101" ht="24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</x:row>
    <x:row r="107" ht="24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</x:row>
    <x:row r="111" ht="24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</x:row>
    <x:row r="112" ht="24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</x:row>
    <x:row r="113" ht="24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</x:row>
    <x:row r="116" ht="24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</x:row>
    <x:row r="117" ht="24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</x:row>
    <x:row r="118" ht="24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</x:row>
    <x:row r="120" ht="24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</x:row>
    <x:row r="121" ht="24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</x:row>
    <x:row r="122" ht="24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</x:row>
    <x:row r="123" ht="24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</x:row>
    <x:row r="124" ht="24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</x:row>
    <x:row r="125" ht="24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</x:row>
    <x:row r="126" ht="24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</x:row>
    <x:row r="127" ht="24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</x:row>
    <x:row r="128" ht="24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</x:row>
    <x:row r="129" ht="24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</x:row>
    <x:row r="130" ht="24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</x:row>
  </x:sheetData>
  <x:pageMargins left="0.7" right="0.7" top="0.75" bottom="0.75" header="0.3" footer="0.3"/>
  <x:drawing xmlns:r="http://schemas.openxmlformats.org/officeDocument/2006/relationships" r:id="R13cf6d4ef6764774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2" hidden="0" customWidth="1"/>
    <x:col min="3" max="3" width="65" hidden="0" customWidth="1"/>
    <x:col min="4" max="4" width="35" hidden="0" customWidth="1"/>
    <x:col min="5" max="5" width="40" hidden="0" customWidth="1"/>
    <x:col min="6" max="6" width="20" hidden="0" customWidth="1"/>
    <x:col min="7" max="7" width="20" hidden="0" customWidth="1"/>
    <x:col min="8" max="8" width="2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Valor Ganado: reporte por completar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Sin datos reales verificados. Cargar plan, avance aceptado y costo incurrido por 43 componentes; cero explícito significa ningún avance/costo.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2" customHeight="1">
      <x:c r="A5" s="6" t="str">
        <x:v>Indicador real</x:v>
      </x:c>
      <x:c r="B5" s="6" t="str">
        <x:v>Valor</x:v>
      </x:c>
      <x:c r="C5" s="6" t="str">
        <x:v>Regla</x:v>
      </x:c>
      <x:c r="D5" s="6" t="str">
        <x:v>Ejemplo ilustrativo</x:v>
      </x:c>
      <x:c r="E5" s="6" t="str">
        <x:v>Valor ficticio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32" customHeight="1">
      <x:c r="A6" s="2" t="str">
        <x:v>Fecha de corte</x:v>
      </x:c>
      <x:c r="B6" s="36"/>
      <x:c r="C6" s="11" t="str">
        <x:v>Entrada obligatoria; mismo corte para PV, EV y AC.</x:v>
      </x:c>
      <x:c r="D6" s="2" t="str">
        <x:v>Fecha ficticia</x:v>
      </x:c>
      <x:c r="E6" s="23" t="d">
        <x:v>2026-11-30T12:00:00.000Z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32" customHeight="1">
      <x:c r="A7" s="2" t="str">
        <x:v>BAC operativo</x:v>
      </x:c>
      <x:c r="B7" s="20" t="n">
        <x:f>Tareas!H37</x:f>
        <x:v>372700</x:v>
      </x:c>
      <x:c r="C7" s="11" t="str">
        <x:v>Excluye reserva no distribuida.</x:v>
      </x:c>
      <x:c r="D7" s="2" t="str">
        <x:v>BAC</x:v>
      </x:c>
      <x:c r="E7" s="20" t="n">
        <x:f>Tareas!H37</x:f>
        <x:v>372700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32" customHeight="1">
      <x:c r="A8" s="2" t="str">
        <x:v>PV</x:v>
      </x:c>
      <x:c r="B8" s="21" t="str">
        <x:f>IF(AND(COUNT(D26:F68)=129,ISNUMBER(B6),NOT(OR(COUNTIF(D26:E68,"&lt;0")&gt;0,COUNTIF(D26:E68,"&gt;1")&gt;0,COUNTIF(F26:F68,"&lt;0")&gt;0))),SUM(G26:G68),"")</x:f>
      </x:c>
      <x:c r="C8" s="11" t="str">
        <x:v>Plan autorizado por componente.</x:v>
      </x:c>
      <x:c r="D8" s="2" t="str">
        <x:v>PV</x:v>
      </x:c>
      <x:c r="E8" s="9" t="n">
        <x:v>200000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</x:row>
    <x:row r="9" ht="32" customHeight="1">
      <x:c r="A9" s="2" t="str">
        <x:v>EV</x:v>
      </x:c>
      <x:c r="B9" s="21" t="str">
        <x:f>IF(AND(COUNT(D26:F68)=129,ISNUMBER(B6),NOT(OR(COUNTIF(D26:E68,"&lt;0")&gt;0,COUNTIF(D26:E68,"&gt;1")&gt;0,COUNTIF(F26:F68,"&lt;0")&gt;0))),SUM(H26:H68),"")</x:f>
      </x:c>
      <x:c r="C9" s="11" t="str">
        <x:v>Trabajo aceptado, no gasto ni porcentaje subjetivo.</x:v>
      </x:c>
      <x:c r="D9" s="2" t="str">
        <x:v>EV</x:v>
      </x:c>
      <x:c r="E9" s="9" t="n">
        <x:v>180000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 ht="32" customHeight="1">
      <x:c r="A10" s="2" t="str">
        <x:v>AC</x:v>
      </x:c>
      <x:c r="B10" s="21" t="str">
        <x:f>IF(AND(COUNT(D26:F68)=129,ISNUMBER(B6),NOT(OR(COUNTIF(D26:E68,"&lt;0")&gt;0,COUNTIF(D26:E68,"&gt;1")&gt;0,COUNTIF(F26:F68,"&lt;0")&gt;0))),SUM(F26:F68),"")</x:f>
      </x:c>
      <x:c r="C10" s="11" t="str">
        <x:v>Devengado conciliado, no calculado de avance.</x:v>
      </x:c>
      <x:c r="D10" s="2" t="str">
        <x:v>AC</x:v>
      </x:c>
      <x:c r="E10" s="9" t="n">
        <x:v>195000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32" customHeight="1">
      <x:c r="A11" s="2" t="str">
        <x:v>CV</x:v>
      </x:c>
      <x:c r="B11" s="21" t="str">
        <x:f>IF(AND(COUNT(D26:F68)=129,ISNUMBER(B6),NOT(OR(COUNTIF(D26:E68,"&lt;0")&gt;0,COUNTIF(D26:E68,"&gt;1")&gt;0,COUNTIF(F26:F68,"&lt;0")&gt;0))),B9-B10,"")</x:f>
      </x:c>
      <x:c r="C11" s="11" t="str">
        <x:v>EV−AC en USD.</x:v>
      </x:c>
      <x:c r="D11" s="2" t="str">
        <x:v>CV</x:v>
      </x:c>
      <x:c r="E11" s="21" t="n">
        <x:f>E9-E10</x:f>
        <x:v>-15000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32" customHeight="1">
      <x:c r="A12" s="2" t="str">
        <x:v>SV</x:v>
      </x:c>
      <x:c r="B12" s="21" t="str">
        <x:f>IF(AND(COUNT(D26:F68)=129,ISNUMBER(B6),NOT(OR(COUNTIF(D26:E68,"&lt;0")&gt;0,COUNTIF(D26:E68,"&gt;1")&gt;0,COUNTIF(F26:F68,"&lt;0")&gt;0))),B9-B8,"")</x:f>
      </x:c>
      <x:c r="C12" s="11" t="str">
        <x:v>EV−PV en USD, no días.</x:v>
      </x:c>
      <x:c r="D12" s="2" t="str">
        <x:v>SV</x:v>
      </x:c>
      <x:c r="E12" s="21" t="n">
        <x:f>E9-E8</x:f>
        <x:v>-20000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32" customHeight="1">
      <x:c r="A13" s="2" t="str">
        <x:v>CPI</x:v>
      </x:c>
      <x:c r="B13" s="37" t="str">
        <x:f>IF(AND(COUNT(D26:F68)=129,ISNUMBER(B6),NOT(OR(COUNTIF(D26:E68,"&lt;0")&gt;0,COUNTIF(D26:E68,"&gt;1")&gt;0,COUNTIF(F26:F68,"&lt;0")&gt;0))),IF(B10&gt;0,B9/B10,"No calculable"),"")</x:f>
      </x:c>
      <x:c r="C13" s="11" t="str">
        <x:v>EV/AC si AC&gt;0.</x:v>
      </x:c>
      <x:c r="D13" s="2" t="str">
        <x:v>CPI</x:v>
      </x:c>
      <x:c r="E13" s="37" t="n">
        <x:f>IF(E10&gt;0,E9/E10,"No calculable")</x:f>
        <x:v>0.9230769230769231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32" customHeight="1">
      <x:c r="A14" s="2" t="str">
        <x:v>SPI</x:v>
      </x:c>
      <x:c r="B14" s="37" t="str">
        <x:f>IF(AND(COUNT(D26:F68)=129,ISNUMBER(B6),NOT(OR(COUNTIF(D26:E68,"&lt;0")&gt;0,COUNTIF(D26:E68,"&gt;1")&gt;0,COUNTIF(F26:F68,"&lt;0")&gt;0))),IF(B8&gt;0,B9/B8,"No calculable"),"")</x:f>
      </x:c>
      <x:c r="C14" s="11" t="str">
        <x:v>EV/PV si PV&gt;0.</x:v>
      </x:c>
      <x:c r="D14" s="2" t="str">
        <x:v>SPI</x:v>
      </x:c>
      <x:c r="E14" s="37" t="n">
        <x:f>IF(E8&gt;0,E9/E8,"No calculable")</x:f>
        <x:v>0.9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32" customHeight="1">
      <x:c r="A15" s="2" t="str">
        <x:v>EAC</x:v>
      </x:c>
      <x:c r="B15" s="21" t="str">
        <x:f>IF(AND(COUNT(D26:F68)=129,ISNUMBER(B6),NOT(OR(COUNTIF(D26:E68,"&lt;0")&gt;0,COUNTIF(D26:E68,"&gt;1")&gt;0,COUNTIF(F26:F68,"&lt;0")&gt;0))),IF(AND(ISNUMBER(B13),B13&gt;0),B7/B13,"No calculable"),"")</x:f>
      </x:c>
      <x:c r="C15" s="11" t="str">
        <x:v>BAC/CPI si CPI&gt;0; hipótesis eficiencia persistente.</x:v>
      </x:c>
      <x:c r="D15" s="2" t="str">
        <x:v>EAC</x:v>
      </x:c>
      <x:c r="E15" s="21" t="n">
        <x:f>IF(AND(ISNUMBER(E13),E13&gt;0),E7/E13,"No calculable")</x:f>
        <x:v>403758.3333333333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32" customHeight="1">
      <x:c r="A16" s="2" t="str">
        <x:v>ETC</x:v>
      </x:c>
      <x:c r="B16" s="21" t="str">
        <x:f>IF(AND(COUNT(D26:F68)=129,ISNUMBER(B6),NOT(OR(COUNTIF(D26:E68,"&lt;0")&gt;0,COUNTIF(D26:E68,"&gt;1")&gt;0,COUNTIF(F26:F68,"&lt;0")&gt;0))),IF(ISNUMBER(B15),B15-B10,"No calculable"),"")</x:f>
      </x:c>
      <x:c r="C16" s="11" t="str">
        <x:v>EAC−AC.</x:v>
      </x:c>
      <x:c r="D16" s="2" t="str">
        <x:v>ETC</x:v>
      </x:c>
      <x:c r="E16" s="21" t="n">
        <x:f>IF(ISNUMBER(E15),E15-E10,"No calculable")</x:f>
        <x:v>208758.3333333333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32" customHeight="1">
      <x:c r="A17" s="2" t="str">
        <x:v>VAC</x:v>
      </x:c>
      <x:c r="B17" s="21" t="str">
        <x:f>IF(AND(COUNT(D26:F68)=129,ISNUMBER(B6),NOT(OR(COUNTIF(D26:E68,"&lt;0")&gt;0,COUNTIF(D26:E68,"&gt;1")&gt;0,COUNTIF(F26:F68,"&lt;0")&gt;0))),IF(ISNUMBER(B15),B7-B15,"No calculable"),"")</x:f>
      </x:c>
      <x:c r="C17" s="11" t="str">
        <x:v>BAC−EAC.</x:v>
      </x:c>
      <x:c r="D17" s="2" t="str">
        <x:v>VAC</x:v>
      </x:c>
      <x:c r="E17" s="21" t="n">
        <x:f>IF(ISNUMBER(E15),E7-E15,"No calculable")</x:f>
        <x:v>-31058.333333333314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 ht="32" customHeight="1">
      <x:c r="A18" s="2" t="str">
        <x:v>TCPI</x:v>
      </x:c>
      <x:c r="B18" s="37" t="str">
        <x:f>IF(AND(COUNT(D26:F68)=129,ISNUMBER(B6),NOT(OR(COUNTIF(D26:E68,"&lt;0")&gt;0,COUNTIF(D26:E68,"&gt;1")&gt;0,COUNTIF(F26:F68,"&lt;0")&gt;0))),IF(B7-B10&gt;0,(B7-B9)/(B7-B10),"No calculable"),"")</x:f>
      </x:c>
      <x:c r="C18" s="11" t="str">
        <x:v>(BAC−EV)/(BAC−AC) si denominador&gt;0.</x:v>
      </x:c>
      <x:c r="D18" s="2" t="str">
        <x:v>TCPI</x:v>
      </x:c>
      <x:c r="E18" s="37" t="n">
        <x:f>IF(E7-E10&gt;0,(E7-E9)/(E7-E10),"No calculable")</x:f>
        <x:v>1.084411930219471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 ht="32" customHeight="1">
      <x:c r="A19" s="2" t="str">
        <x:v>Estado real</x:v>
      </x:c>
      <x:c r="B19" s="2" t="str">
        <x:f>IF(OR(COUNTIF(D26:E68,"&lt;0")&gt;0,COUNTIF(D26:E68,"&gt;1")&gt;0,COUNTIF(F26:F68,"&lt;0")&gt;0),"Dato inválido: avance 0..1 y AC&gt;=0",IF(AND(COUNT(D26:F68)=129,ISNUMBER(B6),NOT(OR(COUNTIF(D26:E68,"&lt;0")&gt;0,COUNTIF(D26:E68,"&gt;1")&gt;0,COUNTIF(F26:F68,"&lt;0")&gt;0))),IF(OR(B8=0,B10=0,B9=0,B7-B10&lt;=0),"Completo; hay índices no calculables","Completo para analizar"),"Pendiente de datos reales"))</x:f>
        <x:v>Pendiente de datos reales</x:v>
      </x:c>
      <x:c r="C19" s="11" t="str">
        <x:v>No informar estado hasta completar corte y 43 componentes.</x:v>
      </x:c>
      <x:c r="D19" s="2" t="str">
        <x:v>Estado ejemplo</x:v>
      </x:c>
      <x:c r="E19" s="2" t="str">
        <x:v>ILUSTRATIVO, sin datos reales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 ht="24" customHeight="1">
      <x:c r="A21" s="2" t="str">
        <x:v>PV requiere plan físico por componente. 20 % diseño, 50 % integrado/revisado, 30 % aceptación para módulos;0/100 documentos breves.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24" customHeight="1">
      <x:c r="A22" s="2" t="str">
        <x:v>LOE 1.5 gana por gestión prestada. Partidas: avance según servicio disponible/aceptado, sin ganar7 meses por alta del ambiente.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24" customHeight="1">
      <x:c r="A23" s="2" t="str">
        <x:v>Al activar reserva, transferir presupuesto a componente con plan futuro. Mantener BAC operativo + reserva = línea base.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32" customHeight="1">
      <x:c r="A25" s="6" t="str">
        <x:v>Componente</x:v>
      </x:c>
      <x:c r="B25" s="6" t="str">
        <x:v>Tipo / tarea</x:v>
      </x:c>
      <x:c r="C25" s="6" t="str">
        <x:v>BAC USD</x:v>
      </x:c>
      <x:c r="D25" s="6" t="str">
        <x:v>Plan físico</x:v>
      </x:c>
      <x:c r="E25" s="6" t="str">
        <x:v>Avance aceptado</x:v>
      </x:c>
      <x:c r="F25" s="6" t="str">
        <x:v>AC USD</x:v>
      </x:c>
      <x:c r="G25" s="6" t="str">
        <x:v>PV USD</x:v>
      </x:c>
      <x:c r="H25" s="6" t="str">
        <x:v>EV USD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42" customHeight="1">
      <x:c r="A26" s="2" t="str">
        <x:v>1.1</x:v>
      </x:c>
      <x:c r="B26" s="11" t="str">
        <x:v>Acta de constitución</x:v>
      </x:c>
      <x:c r="C26" s="20" t="n">
        <x:f>'Línea base'!C21</x:f>
        <x:v>1040</x:v>
      </x:c>
      <x:c r="D26" s="10"/>
      <x:c r="E26" s="10"/>
      <x:c r="F26" s="9"/>
      <x:c r="G26" s="21" t="str">
        <x:f>IF(ISNUMBER(D26),C26*D26,"")</x:f>
      </x:c>
      <x:c r="H26" s="21" t="str">
        <x:f>IF(ISNUMBER(E26),C26*E26,"")</x:f>
      </x:c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42" customHeight="1">
      <x:c r="A27" s="2" t="str">
        <x:v>1.2</x:v>
      </x:c>
      <x:c r="B27" s="11" t="str">
        <x:v>Declaración del alcance y EDT</x:v>
      </x:c>
      <x:c r="C27" s="20" t="n">
        <x:f>'Línea base'!C22</x:f>
        <x:v>2136</x:v>
      </x:c>
      <x:c r="D27" s="10"/>
      <x:c r="E27" s="10"/>
      <x:c r="F27" s="9"/>
      <x:c r="G27" s="21" t="str">
        <x:f>IF(ISNUMBER(D27),C27*D27,"")</x:f>
      </x:c>
      <x:c r="H27" s="21" t="str">
        <x:f>IF(ISNUMBER(E27),C27*E27,"")</x:f>
      </x:c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42" customHeight="1">
      <x:c r="A28" s="2" t="str">
        <x:v>1.3</x:v>
      </x:c>
      <x:c r="B28" s="11" t="str">
        <x:v>Cronograma, presupuesto y línea base</x:v>
      </x:c>
      <x:c r="C28" s="20" t="n">
        <x:f>'Línea base'!C23</x:f>
        <x:v>935.9999999999999</x:v>
      </x:c>
      <x:c r="D28" s="10"/>
      <x:c r="E28" s="10"/>
      <x:c r="F28" s="9"/>
      <x:c r="G28" s="21" t="str">
        <x:f>IF(ISNUMBER(D28),C28*D28,"")</x:f>
      </x:c>
      <x:c r="H28" s="21" t="str">
        <x:f>IF(ISNUMBER(E28),C28*E28,"")</x:f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42" customHeight="1">
      <x:c r="A29" s="2" t="str">
        <x:v>1.4</x:v>
      </x:c>
      <x:c r="B29" s="11" t="str">
        <x:v>Registro de riesgos e interesados</x:v>
      </x:c>
      <x:c r="C29" s="20" t="n">
        <x:f>'Línea base'!C24</x:f>
        <x:v>600</x:v>
      </x:c>
      <x:c r="D29" s="10"/>
      <x:c r="E29" s="10"/>
      <x:c r="F29" s="9"/>
      <x:c r="G29" s="21" t="str">
        <x:f>IF(ISNUMBER(D29),C29*D29,"")</x:f>
      </x:c>
      <x:c r="H29" s="21" t="str">
        <x:f>IF(ISNUMBER(E29),C29*E29,"")</x:f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42" customHeight="1">
      <x:c r="A30" s="2" t="str">
        <x:v>1.5</x:v>
      </x:c>
      <x:c r="B30" s="11" t="str">
        <x:v>Seguimiento, cambios e informes (tarea resumen)</x:v>
      </x:c>
      <x:c r="C30" s="20" t="n">
        <x:f>'Línea base'!C25</x:f>
        <x:v>34320</x:v>
      </x:c>
      <x:c r="D30" s="10"/>
      <x:c r="E30" s="10"/>
      <x:c r="F30" s="9"/>
      <x:c r="G30" s="21" t="str">
        <x:f>IF(ISNUMBER(D30),C30*D30,"")</x:f>
      </x:c>
      <x:c r="H30" s="21" t="str">
        <x:f>IF(ISNUMBER(E30),C30*E30,"")</x:f>
      </x:c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42" customHeight="1">
      <x:c r="A31" s="2" t="str">
        <x:v>1.6</x:v>
      </x:c>
      <x:c r="B31" s="11" t="str">
        <x:v>Cierre y lecciones aprendidas</x:v>
      </x:c>
      <x:c r="C31" s="20" t="n">
        <x:f>'Línea base'!C26</x:f>
        <x:v>1020</x:v>
      </x:c>
      <x:c r="D31" s="10"/>
      <x:c r="E31" s="10"/>
      <x:c r="F31" s="9"/>
      <x:c r="G31" s="21" t="str">
        <x:f>IF(ISNUMBER(D31),C31*D31,"")</x:f>
      </x:c>
      <x:c r="H31" s="21" t="str">
        <x:f>IF(ISNUMBER(E31),C31*E31,"")</x:f>
      </x:c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42" customHeight="1">
      <x:c r="A32" s="2" t="str">
        <x:v>2.1</x:v>
      </x:c>
      <x:c r="B32" s="11" t="str">
        <x:v>Relevamiento y reglas de negocio</x:v>
      </x:c>
      <x:c r="C32" s="20" t="n">
        <x:f>'Línea base'!C27</x:f>
        <x:v>7060</x:v>
      </x:c>
      <x:c r="D32" s="10"/>
      <x:c r="E32" s="10"/>
      <x:c r="F32" s="9"/>
      <x:c r="G32" s="21" t="str">
        <x:f>IF(ISNUMBER(D32),C32*D32,"")</x:f>
      </x:c>
      <x:c r="H32" s="21" t="str">
        <x:f>IF(ISNUMBER(E32),C32*E32,"")</x:f>
      </x:c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42" customHeight="1">
      <x:c r="A33" s="2" t="str">
        <x:v>2.2</x:v>
      </x:c>
      <x:c r="B33" s="11" t="str">
        <x:v>Planos e inventario de espacios</x:v>
      </x:c>
      <x:c r="C33" s="20" t="n">
        <x:f>'Línea base'!C28</x:f>
        <x:v>2655</x:v>
      </x:c>
      <x:c r="D33" s="10"/>
      <x:c r="E33" s="10"/>
      <x:c r="F33" s="9"/>
      <x:c r="G33" s="21" t="str">
        <x:f>IF(ISNUMBER(D33),C33*D33,"")</x:f>
      </x:c>
      <x:c r="H33" s="21" t="str">
        <x:f>IF(ISNUMBER(E33),C33*E33,"")</x:f>
      </x:c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42" customHeight="1">
      <x:c r="A34" s="2" t="str">
        <x:v>2.3</x:v>
      </x:c>
      <x:c r="B34" s="11" t="str">
        <x:v>Módulo de reserva de escritorios</x:v>
      </x:c>
      <x:c r="C34" s="20" t="n">
        <x:f>'Línea base'!C29</x:f>
        <x:v>10728</x:v>
      </x:c>
      <x:c r="D34" s="10"/>
      <x:c r="E34" s="10"/>
      <x:c r="F34" s="9"/>
      <x:c r="G34" s="21" t="str">
        <x:f>IF(ISNUMBER(D34),C34*D34,"")</x:f>
      </x:c>
      <x:c r="H34" s="21" t="str">
        <x:f>IF(ISNUMBER(E34),C34*E34,"")</x:f>
      </x:c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42" customHeight="1">
      <x:c r="A35" s="2" t="str">
        <x:v>2.4</x:v>
      </x:c>
      <x:c r="B35" s="11" t="str">
        <x:v>Módulo de reserva de salas</x:v>
      </x:c>
      <x:c r="C35" s="20" t="n">
        <x:f>'Línea base'!C30</x:f>
        <x:v>8940</x:v>
      </x:c>
      <x:c r="D35" s="10"/>
      <x:c r="E35" s="10"/>
      <x:c r="F35" s="9"/>
      <x:c r="G35" s="21" t="str">
        <x:f>IF(ISNUMBER(D35),C35*D35,"")</x:f>
      </x:c>
      <x:c r="H35" s="21" t="str">
        <x:f>IF(ISNUMBER(E35),C35*E35,"")</x:f>
      </x:c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42" customHeight="1">
      <x:c r="A36" s="2" t="str">
        <x:v>2.5</x:v>
      </x:c>
      <x:c r="B36" s="11" t="str">
        <x:v>Check-in, check-out y liberación</x:v>
      </x:c>
      <x:c r="C36" s="20" t="n">
        <x:f>'Línea base'!C31</x:f>
        <x:v>6144</x:v>
      </x:c>
      <x:c r="D36" s="10"/>
      <x:c r="E36" s="10"/>
      <x:c r="F36" s="9"/>
      <x:c r="G36" s="21" t="str">
        <x:f>IF(ISNUMBER(D36),C36*D36,"")</x:f>
      </x:c>
      <x:c r="H36" s="21" t="str">
        <x:f>IF(ISNUMBER(E36),C36*E36,"")</x:f>
      </x:c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42" customHeight="1">
      <x:c r="A37" s="2" t="str">
        <x:v>2.6</x:v>
      </x:c>
      <x:c r="B37" s="11" t="str">
        <x:v>Notificaciones y sugerencias</x:v>
      </x:c>
      <x:c r="C37" s="20" t="n">
        <x:f>'Línea base'!C32</x:f>
        <x:v>9120</x:v>
      </x:c>
      <x:c r="D37" s="10"/>
      <x:c r="E37" s="10"/>
      <x:c r="F37" s="9"/>
      <x:c r="G37" s="21" t="str">
        <x:f>IF(ISNUMBER(D37),C37*D37,"")</x:f>
      </x:c>
      <x:c r="H37" s="21" t="str">
        <x:f>IF(ISNUMBER(E37),C37*E37,"")</x:f>
      </x:c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42" customHeight="1">
      <x:c r="A38" s="2" t="str">
        <x:v>2.7</x:v>
      </x:c>
      <x:c r="B38" s="11" t="str">
        <x:v>Diseño UX</x:v>
      </x:c>
      <x:c r="C38" s="20" t="n">
        <x:f>'Línea base'!C33</x:f>
        <x:v>5220</x:v>
      </x:c>
      <x:c r="D38" s="10"/>
      <x:c r="E38" s="10"/>
      <x:c r="F38" s="9"/>
      <x:c r="G38" s="21" t="str">
        <x:f>IF(ISNUMBER(D38),C38*D38,"")</x:f>
      </x:c>
      <x:c r="H38" s="21" t="str">
        <x:f>IF(ISNUMBER(E38),C38*E38,"")</x:f>
      </x:c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42" customHeight="1">
      <x:c r="A39" s="2" t="str">
        <x:v>2.8</x:v>
      </x:c>
      <x:c r="B39" s="11" t="str">
        <x:v>Implementación bot de Teams</x:v>
      </x:c>
      <x:c r="C39" s="20" t="n">
        <x:f>'Línea base'!C34</x:f>
        <x:v>2920</x:v>
      </x:c>
      <x:c r="D39" s="10"/>
      <x:c r="E39" s="10"/>
      <x:c r="F39" s="9"/>
      <x:c r="G39" s="21" t="str">
        <x:f>IF(ISNUMBER(D39),C39*D39,"")</x:f>
      </x:c>
      <x:c r="H39" s="21" t="str">
        <x:f>IF(ISNUMBER(E39),C39*E39,"")</x:f>
      </x:c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42" customHeight="1">
      <x:c r="A40" s="2" t="str">
        <x:v>2.9</x:v>
      </x:c>
      <x:c r="B40" s="11" t="str">
        <x:v>Configuración web</x:v>
      </x:c>
      <x:c r="C40" s="20" t="n">
        <x:f>'Línea base'!C35</x:f>
        <x:v>7656</x:v>
      </x:c>
      <x:c r="D40" s="10"/>
      <x:c r="E40" s="10"/>
      <x:c r="F40" s="9"/>
      <x:c r="G40" s="21" t="str">
        <x:f>IF(ISNUMBER(D40),C40*D40,"")</x:f>
      </x:c>
      <x:c r="H40" s="21" t="str">
        <x:f>IF(ISNUMBER(E40),C40*E40,"")</x:f>
      </x:c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42" customHeight="1">
      <x:c r="A41" s="2" t="str">
        <x:v>3.1</x:v>
      </x:c>
      <x:c r="B41" s="11" t="str">
        <x:v>SSO y SCIM con Entra ID</x:v>
      </x:c>
      <x:c r="C41" s="20" t="n">
        <x:f>'Línea base'!C36</x:f>
        <x:v>12660</x:v>
      </x:c>
      <x:c r="D41" s="10"/>
      <x:c r="E41" s="10"/>
      <x:c r="F41" s="9"/>
      <x:c r="G41" s="21" t="str">
        <x:f>IF(ISNUMBER(D41),C41*D41,"")</x:f>
      </x:c>
      <x:c r="H41" s="21" t="str">
        <x:f>IF(ISNUMBER(E41),C41*E41,"")</x:f>
      </x:c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42" customHeight="1">
      <x:c r="A42" s="2" t="str">
        <x:v>3.2</x:v>
      </x:c>
      <x:c r="B42" s="11" t="str">
        <x:v>Sincronización con HRIS</x:v>
      </x:c>
      <x:c r="C42" s="20" t="n">
        <x:f>'Línea base'!C37</x:f>
        <x:v>5370</x:v>
      </x:c>
      <x:c r="D42" s="10"/>
      <x:c r="E42" s="10"/>
      <x:c r="F42" s="9"/>
      <x:c r="G42" s="21" t="str">
        <x:f>IF(ISNUMBER(D42),C42*D42,"")</x:f>
      </x:c>
      <x:c r="H42" s="21" t="str">
        <x:f>IF(ISNUMBER(E42),C42*E42,"")</x:f>
      </x:c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 ht="42" customHeight="1">
      <x:c r="A43" s="2" t="str">
        <x:v>3.3</x:v>
      </x:c>
      <x:c r="B43" s="11" t="str">
        <x:v>Exchange, Outlook y Teams</x:v>
      </x:c>
      <x:c r="C43" s="20" t="n">
        <x:f>'Línea base'!C38</x:f>
        <x:v>5180</x:v>
      </x:c>
      <x:c r="D43" s="10"/>
      <x:c r="E43" s="10"/>
      <x:c r="F43" s="9"/>
      <x:c r="G43" s="21" t="str">
        <x:f>IF(ISNUMBER(D43),C43*D43,"")</x:f>
      </x:c>
      <x:c r="H43" s="21" t="str">
        <x:f>IF(ISNUMBER(E43),C43*E43,"")</x:f>
      </x:c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 ht="42" customHeight="1">
      <x:c r="A44" s="2" t="str">
        <x:v>3.4</x:v>
      </x:c>
      <x:c r="B44" s="11" t="str">
        <x:v>Seguridad y endurecimiento</x:v>
      </x:c>
      <x:c r="C44" s="20" t="n">
        <x:f>'Línea base'!C39</x:f>
        <x:v>8820</x:v>
      </x:c>
      <x:c r="D44" s="10"/>
      <x:c r="E44" s="10"/>
      <x:c r="F44" s="9"/>
      <x:c r="G44" s="21" t="str">
        <x:f>IF(ISNUMBER(D44),C44*D44,"")</x:f>
      </x:c>
      <x:c r="H44" s="21" t="str">
        <x:f>IF(ISNUMBER(E44),C44*E44,"")</x:f>
      </x:c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 ht="42" customHeight="1">
      <x:c r="A45" s="2" t="str">
        <x:v>3.5</x:v>
      </x:c>
      <x:c r="B45" s="11" t="str">
        <x:v>Pruebas de integración y carga</x:v>
      </x:c>
      <x:c r="C45" s="20" t="n">
        <x:f>'Línea base'!C40</x:f>
        <x:v>8352</x:v>
      </x:c>
      <x:c r="D45" s="10"/>
      <x:c r="E45" s="10"/>
      <x:c r="F45" s="9"/>
      <x:c r="G45" s="21" t="str">
        <x:f>IF(ISNUMBER(D45),C45*D45,"")</x:f>
      </x:c>
      <x:c r="H45" s="21" t="str">
        <x:f>IF(ISNUMBER(E45),C45*E45,"")</x:f>
      </x:c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  <x:row r="46" ht="42" customHeight="1">
      <x:c r="A46" s="2" t="str">
        <x:v>4.1</x:v>
      </x:c>
      <x:c r="B46" s="11" t="str">
        <x:v>Impacto e interesados con RR.HH.</x:v>
      </x:c>
      <x:c r="C46" s="20" t="n">
        <x:f>'Línea base'!C41</x:f>
        <x:v>4640</x:v>
      </x:c>
      <x:c r="D46" s="10"/>
      <x:c r="E46" s="10"/>
      <x:c r="F46" s="9"/>
      <x:c r="G46" s="21" t="str">
        <x:f>IF(ISNUMBER(D46),C46*D46,"")</x:f>
      </x:c>
      <x:c r="H46" s="21" t="str">
        <x:f>IF(ISNUMBER(E46),C46*E46,"")</x:f>
      </x:c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</x:row>
    <x:row r="47" ht="42" customHeight="1">
      <x:c r="A47" s="2" t="str">
        <x:v>4.2</x:v>
      </x:c>
      <x:c r="B47" s="11" t="str">
        <x:v>Política de trabajo flexible</x:v>
      </x:c>
      <x:c r="C47" s="20" t="n">
        <x:f>'Línea base'!C42</x:f>
        <x:v>4640</x:v>
      </x:c>
      <x:c r="D47" s="10"/>
      <x:c r="E47" s="10"/>
      <x:c r="F47" s="9"/>
      <x:c r="G47" s="21" t="str">
        <x:f>IF(ISNUMBER(D47),C47*D47,"")</x:f>
      </x:c>
      <x:c r="H47" s="21" t="str">
        <x:f>IF(ISNUMBER(E47),C47*E47,"")</x:f>
      </x:c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</x:row>
    <x:row r="48" ht="42" customHeight="1">
      <x:c r="A48" s="2" t="str">
        <x:v>4.3</x:v>
      </x:c>
      <x:c r="B48" s="11" t="str">
        <x:v>Comunicación y lanzamiento</x:v>
      </x:c>
      <x:c r="C48" s="20" t="n">
        <x:f>'Línea base'!C43</x:f>
        <x:v>7200</x:v>
      </x:c>
      <x:c r="D48" s="10"/>
      <x:c r="E48" s="10"/>
      <x:c r="F48" s="9"/>
      <x:c r="G48" s="21" t="str">
        <x:f>IF(ISNUMBER(D48),C48*D48,"")</x:f>
      </x:c>
      <x:c r="H48" s="21" t="str">
        <x:f>IF(ISNUMBER(E48),C48*E48,"")</x:f>
      </x:c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 ht="42" customHeight="1">
      <x:c r="A49" s="2" t="str">
        <x:v>4.4</x:v>
      </x:c>
      <x:c r="B49" s="11" t="str">
        <x:v>Referentes y capacitación</x:v>
      </x:c>
      <x:c r="C49" s="20" t="n">
        <x:f>'Línea base'!C44</x:f>
        <x:v>6960</x:v>
      </x:c>
      <x:c r="D49" s="10"/>
      <x:c r="E49" s="10"/>
      <x:c r="F49" s="9"/>
      <x:c r="G49" s="21" t="str">
        <x:f>IF(ISNUMBER(D49),C49*D49,"")</x:f>
      </x:c>
      <x:c r="H49" s="21" t="str">
        <x:f>IF(ISNUMBER(E49),C49*E49,"")</x:f>
      </x:c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t="42" customHeight="1">
      <x:c r="A50" s="2" t="str">
        <x:v>4.5</x:v>
      </x:c>
      <x:c r="B50" s="11" t="str">
        <x:v>Materiales y mesa de ayuda N1</x:v>
      </x:c>
      <x:c r="C50" s="20" t="n">
        <x:f>'Línea base'!C45</x:f>
        <x:v>4640</x:v>
      </x:c>
      <x:c r="D50" s="10"/>
      <x:c r="E50" s="10"/>
      <x:c r="F50" s="9"/>
      <x:c r="G50" s="21" t="str">
        <x:f>IF(ISNUMBER(D50),C50*D50,"")</x:f>
      </x:c>
      <x:c r="H50" s="21" t="str">
        <x:f>IF(ISNUMBER(E50),C50*E50,"")</x:f>
      </x:c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 ht="42" customHeight="1">
      <x:c r="A51" s="2" t="str">
        <x:v>5.1</x:v>
      </x:c>
      <x:c r="B51" s="11" t="str">
        <x:v>Ambientes, migración y despliegue</x:v>
      </x:c>
      <x:c r="C51" s="20" t="n">
        <x:f>'Línea base'!C46</x:f>
        <x:v>4416.000000000001</x:v>
      </x:c>
      <x:c r="D51" s="10"/>
      <x:c r="E51" s="10"/>
      <x:c r="F51" s="9"/>
      <x:c r="G51" s="21" t="str">
        <x:f>IF(ISNUMBER(D51),C51*D51,"")</x:f>
      </x:c>
      <x:c r="H51" s="21" t="str">
        <x:f>IF(ISNUMBER(E51),C51*E51,"")</x:f>
      </x:c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  <x:row r="52" ht="42" customHeight="1">
      <x:c r="A52" s="2" t="str">
        <x:v>5.2</x:v>
      </x:c>
      <x:c r="B52" s="11" t="str">
        <x:v>Piloto y ajustes</x:v>
      </x:c>
      <x:c r="C52" s="20" t="n">
        <x:f>'Línea base'!C47</x:f>
        <x:v>17680</x:v>
      </x:c>
      <x:c r="D52" s="10"/>
      <x:c r="E52" s="10"/>
      <x:c r="F52" s="9"/>
      <x:c r="G52" s="21" t="str">
        <x:f>IF(ISNUMBER(D52),C52*D52,"")</x:f>
      </x:c>
      <x:c r="H52" s="21" t="str">
        <x:f>IF(ISNUMBER(E52),C52*E52,"")</x:f>
      </x:c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</x:row>
    <x:row r="53" ht="42" customHeight="1">
      <x:c r="A53" s="2" t="str">
        <x:v>5.3</x:v>
      </x:c>
      <x:c r="B53" s="11" t="str">
        <x:v>UAT y acta de aceptación</x:v>
      </x:c>
      <x:c r="C53" s="20" t="n">
        <x:f>'Línea base'!C48</x:f>
        <x:v>7623</x:v>
      </x:c>
      <x:c r="D53" s="10"/>
      <x:c r="E53" s="10"/>
      <x:c r="F53" s="9"/>
      <x:c r="G53" s="21" t="str">
        <x:f>IF(ISNUMBER(D53),C53*D53,"")</x:f>
      </x:c>
      <x:c r="H53" s="21" t="str">
        <x:f>IF(ISNUMBER(E53),C53*E53,"")</x:f>
      </x:c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</x:row>
    <x:row r="54" ht="42" customHeight="1">
      <x:c r="A54" s="2" t="str">
        <x:v>5.4</x:v>
      </x:c>
      <x:c r="B54" s="11" t="str">
        <x:v>Go-live y estabilización (4 semanas)</x:v>
      </x:c>
      <x:c r="C54" s="20" t="n">
        <x:f>'Línea base'!C49</x:f>
        <x:v>30780</x:v>
      </x:c>
      <x:c r="D54" s="10"/>
      <x:c r="E54" s="10"/>
      <x:c r="F54" s="9"/>
      <x:c r="G54" s="21" t="str">
        <x:f>IF(ISNUMBER(D54),C54*D54,"")</x:f>
      </x:c>
      <x:c r="H54" s="21" t="str">
        <x:f>IF(ISNUMBER(E54),C54*E54,"")</x:f>
      </x:c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</x:row>
    <x:row r="55" ht="42" customHeight="1">
      <x:c r="A55" s="2" t="str">
        <x:v>5.5</x:v>
      </x:c>
      <x:c r="B55" s="11" t="str">
        <x:v>Tablero y transferencia del seguimiento</x:v>
      </x:c>
      <x:c r="C55" s="20" t="n">
        <x:f>'Línea base'!C50</x:f>
        <x:v>3780</x:v>
      </x:c>
      <x:c r="D55" s="10"/>
      <x:c r="E55" s="10"/>
      <x:c r="F55" s="9"/>
      <x:c r="G55" s="21" t="str">
        <x:f>IF(ISNUMBER(D55),C55*D55,"")</x:f>
      </x:c>
      <x:c r="H55" s="21" t="str">
        <x:f>IF(ISNUMBER(E55),C55*E55,"")</x:f>
      </x:c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</x:row>
    <x:row r="56" ht="42" customHeight="1">
      <x:c r="A56" s="2" t="str">
        <x:v>5.6</x:v>
      </x:c>
      <x:c r="B56" s="11" t="str">
        <x:v>Informe de ocupación y recomendación</x:v>
      </x:c>
      <x:c r="C56" s="20" t="n">
        <x:f>'Línea base'!C51</x:f>
        <x:v>2690</x:v>
      </x:c>
      <x:c r="D56" s="10"/>
      <x:c r="E56" s="10"/>
      <x:c r="F56" s="9"/>
      <x:c r="G56" s="21" t="str">
        <x:f>IF(ISNUMBER(D56),C56*D56,"")</x:f>
      </x:c>
      <x:c r="H56" s="21" t="str">
        <x:f>IF(ISNUMBER(E56),C56*E56,"")</x:f>
      </x:c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</x:row>
    <x:row r="57" ht="42" customHeight="1">
      <x:c r="A57" s="2" t="str">
        <x:v>P-1</x:v>
      </x:c>
      <x:c r="B57" s="11" t="str">
        <x:v>Licencia WorkHub, 1.200 usuarios nominados (primer año de soporte incluido)</x:v>
      </x:c>
      <x:c r="C57" s="20" t="n">
        <x:f>'Línea base'!C52</x:f>
        <x:v>108000</x:v>
      </x:c>
      <x:c r="D57" s="10"/>
      <x:c r="E57" s="10"/>
      <x:c r="F57" s="9"/>
      <x:c r="G57" s="21" t="str">
        <x:f>IF(ISNUMBER(D57),C57*D57,"")</x:f>
      </x:c>
      <x:c r="H57" s="21" t="str">
        <x:f>IF(ISNUMBER(E57),C57*E57,"")</x:f>
      </x:c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</x:row>
    <x:row r="58" ht="42" customHeight="1">
      <x:c r="A58" s="2" t="str">
        <x:v>P-2a</x:v>
      </x:c>
      <x:c r="B58" s="11" t="str">
        <x:v>Entorno de desarrollo (Azure Brasil Sur)</x:v>
      </x:c>
      <x:c r="C58" s="20" t="n">
        <x:f>'Línea base'!C53</x:f>
        <x:v>1050</x:v>
      </x:c>
      <x:c r="D58" s="10"/>
      <x:c r="E58" s="10"/>
      <x:c r="F58" s="9"/>
      <x:c r="G58" s="21" t="str">
        <x:f>IF(ISNUMBER(D58),C58*D58,"")</x:f>
      </x:c>
      <x:c r="H58" s="21" t="str">
        <x:f>IF(ISNUMBER(E58),C58*E58,"")</x:f>
      </x:c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</x:row>
    <x:row r="59" ht="42" customHeight="1">
      <x:c r="A59" s="2" t="str">
        <x:v>P-2b</x:v>
      </x:c>
      <x:c r="B59" s="11" t="str">
        <x:v>Entorno de QA / staging</x:v>
      </x:c>
      <x:c r="C59" s="20" t="n">
        <x:f>'Línea base'!C54</x:f>
        <x:v>1500</x:v>
      </x:c>
      <x:c r="D59" s="10"/>
      <x:c r="E59" s="10"/>
      <x:c r="F59" s="9"/>
      <x:c r="G59" s="21" t="str">
        <x:f>IF(ISNUMBER(D59),C59*D59,"")</x:f>
      </x:c>
      <x:c r="H59" s="21" t="str">
        <x:f>IF(ISNUMBER(E59),C59*E59,"")</x:f>
      </x:c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</x:row>
    <x:row r="60" ht="42" customHeight="1">
      <x:c r="A60" s="2" t="str">
        <x:v>P-2c</x:v>
      </x:c>
      <x:c r="B60" s="11" t="str">
        <x:v>Entorno de producción (alineado al hosting anual de N1: USD 5.060 / 12)</x:v>
      </x:c>
      <x:c r="C60" s="20" t="n">
        <x:f>'Línea base'!C55</x:f>
        <x:v>844</x:v>
      </x:c>
      <x:c r="D60" s="10"/>
      <x:c r="E60" s="10"/>
      <x:c r="F60" s="9"/>
      <x:c r="G60" s="21" t="str">
        <x:f>IF(ISNUMBER(D60),C60*D60,"")</x:f>
      </x:c>
      <x:c r="H60" s="21" t="str">
        <x:f>IF(ISNUMBER(E60),C60*E60,"")</x:f>
      </x:c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</x:row>
    <x:row r="61" ht="42" customHeight="1">
      <x:c r="A61" s="2" t="str">
        <x:v>P-2d</x:v>
      </x:c>
      <x:c r="B61" s="11" t="str">
        <x:v>Observabilidad y logs (APM)</x:v>
      </x:c>
      <x:c r="C61" s="20" t="n">
        <x:f>'Línea base'!C56</x:f>
        <x:v>2100</x:v>
      </x:c>
      <x:c r="D61" s="10"/>
      <x:c r="E61" s="10"/>
      <x:c r="F61" s="9"/>
      <x:c r="G61" s="21" t="str">
        <x:f>IF(ISNUMBER(D61),C61*D61,"")</x:f>
      </x:c>
      <x:c r="H61" s="21" t="str">
        <x:f>IF(ISNUMBER(E61),C61*E61,"")</x:f>
      </x:c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</x:row>
    <x:row r="62" ht="42" customHeight="1">
      <x:c r="A62" s="2" t="str">
        <x:v>P-2e</x:v>
      </x:c>
      <x:c r="B62" s="11" t="str">
        <x:v>Herramientas de soporte del equipo (CI/CD, backlog, bóveda de secretos)</x:v>
      </x:c>
      <x:c r="C62" s="20" t="n">
        <x:f>'Línea base'!C57</x:f>
        <x:v>1680</x:v>
      </x:c>
      <x:c r="D62" s="10"/>
      <x:c r="E62" s="10"/>
      <x:c r="F62" s="9"/>
      <x:c r="G62" s="21" t="str">
        <x:f>IF(ISNUMBER(D62),C62*D62,"")</x:f>
      </x:c>
      <x:c r="H62" s="21" t="str">
        <x:f>IF(ISNUMBER(E62),C62*E62,"")</x:f>
      </x:c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</x:row>
    <x:row r="63" ht="42" customHeight="1">
      <x:c r="A63" s="2" t="str">
        <x:v>P-3a</x:v>
      </x:c>
      <x:c r="B63" s="11" t="str">
        <x:v>Piezas de la campaña de lanzamiento (diseño y producción)</x:v>
      </x:c>
      <x:c r="C63" s="20" t="n">
        <x:f>'Línea base'!C58</x:f>
        <x:v>3600</x:v>
      </x:c>
      <x:c r="D63" s="10"/>
      <x:c r="E63" s="10"/>
      <x:c r="F63" s="9"/>
      <x:c r="G63" s="21" t="str">
        <x:f>IF(ISNUMBER(D63),C63*D63,"")</x:f>
      </x:c>
      <x:c r="H63" s="21" t="str">
        <x:f>IF(ISNUMBER(E63),C63*E63,"")</x:f>
      </x:c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</x:row>
    <x:row r="64" ht="42" customHeight="1">
      <x:c r="A64" s="2" t="str">
        <x:v>P-3b</x:v>
      </x:c>
      <x:c r="B64" s="11" t="str">
        <x:v>Materiales de capacitación (video-tutoriales y guías)</x:v>
      </x:c>
      <x:c r="C64" s="20" t="n">
        <x:f>'Línea base'!C59</x:f>
        <x:v>3600</x:v>
      </x:c>
      <x:c r="D64" s="10"/>
      <x:c r="E64" s="10"/>
      <x:c r="F64" s="9"/>
      <x:c r="G64" s="21" t="str">
        <x:f>IF(ISNUMBER(D64),C64*D64,"")</x:f>
      </x:c>
      <x:c r="H64" s="21" t="str">
        <x:f>IF(ISNUMBER(E64),C64*E64,"")</x:f>
      </x:c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</x:row>
    <x:row r="65" ht="42" customHeight="1">
      <x:c r="A65" s="2" t="str">
        <x:v>P-3c</x:v>
      </x:c>
      <x:c r="B65" s="11" t="str">
        <x:v>Sesiones de capacitación a 1.200 colaboradores (logística)</x:v>
      </x:c>
      <x:c r="C65" s="20" t="n">
        <x:f>'Línea base'!C60</x:f>
        <x:v>3600</x:v>
      </x:c>
      <x:c r="D65" s="10"/>
      <x:c r="E65" s="10"/>
      <x:c r="F65" s="9"/>
      <x:c r="G65" s="21" t="str">
        <x:f>IF(ISNUMBER(D65),C65*D65,"")</x:f>
      </x:c>
      <x:c r="H65" s="21" t="str">
        <x:f>IF(ISNUMBER(E65),C65*E65,"")</x:f>
      </x:c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</x:row>
    <x:row r="66" ht="42" customHeight="1">
      <x:c r="A66" s="2" t="str">
        <x:v>P-3d</x:v>
      </x:c>
      <x:c r="B66" s="11" t="str">
        <x:v>Encuestas de intención de uso y pulso</x:v>
      </x:c>
      <x:c r="C66" s="20" t="n">
        <x:f>'Línea base'!C61</x:f>
        <x:v>900</x:v>
      </x:c>
      <x:c r="D66" s="10"/>
      <x:c r="E66" s="10"/>
      <x:c r="F66" s="9"/>
      <x:c r="G66" s="21" t="str">
        <x:f>IF(ISNUMBER(D66),C66*D66,"")</x:f>
      </x:c>
      <x:c r="H66" s="21" t="str">
        <x:f>IF(ISNUMBER(E66),C66*E66,"")</x:f>
      </x:c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</x:row>
    <x:row r="67" ht="42" customHeight="1">
      <x:c r="A67" s="2" t="str">
        <x:v>P-4a</x:v>
      </x:c>
      <x:c r="B67" s="11" t="str">
        <x:v>Prueba de intrusión externa (requisito RA-2)</x:v>
      </x:c>
      <x:c r="C67" s="20" t="n">
        <x:f>'Línea base'!C62</x:f>
        <x:v>7500</x:v>
      </x:c>
      <x:c r="D67" s="10"/>
      <x:c r="E67" s="10"/>
      <x:c r="F67" s="9"/>
      <x:c r="G67" s="21" t="str">
        <x:f>IF(ISNUMBER(D67),C67*D67,"")</x:f>
      </x:c>
      <x:c r="H67" s="21" t="str">
        <x:f>IF(ISNUMBER(E67),C67*E67,"")</x:f>
      </x:c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</x:row>
    <x:row r="68" ht="42" customHeight="1">
      <x:c r="A68" s="2" t="str">
        <x:v>P-4b</x:v>
      </x:c>
      <x:c r="B68" s="11" t="str">
        <x:v>Entornos sandbox de conectores (HRIS y Exchange)</x:v>
      </x:c>
      <x:c r="C68" s="20" t="n">
        <x:f>'Línea base'!C63</x:f>
        <x:v>2400</x:v>
      </x:c>
      <x:c r="D68" s="10"/>
      <x:c r="E68" s="10"/>
      <x:c r="F68" s="9"/>
      <x:c r="G68" s="21" t="str">
        <x:f>IF(ISNUMBER(D68),C68*D68,"")</x:f>
      </x:c>
      <x:c r="H68" s="21" t="str">
        <x:f>IF(ISNUMBER(E68),C68*E68,"")</x:f>
      </x:c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</x:row>
    <x:row r="100" ht="24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</x:row>
    <x:row r="101" ht="24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</x:row>
    <x:row r="107" ht="24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</x:row>
    <x:row r="111" ht="24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</x:row>
    <x:row r="112" ht="24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</x:row>
    <x:row r="113" ht="24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</x:row>
    <x:row r="116" ht="24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</x:row>
    <x:row r="117" ht="24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</x:row>
    <x:row r="118" ht="24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</x:row>
    <x:row r="120" ht="24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</x:row>
    <x:row r="121" ht="24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</x:row>
    <x:row r="122" ht="24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</x:row>
    <x:row r="123" ht="24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</x:row>
    <x:row r="124" ht="24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</x:row>
    <x:row r="125" ht="24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</x:row>
    <x:row r="126" ht="24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</x:row>
    <x:row r="127" ht="24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</x:row>
    <x:row r="128" ht="24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</x:row>
    <x:row r="129" ht="24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</x:row>
    <x:row r="130" ht="24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</x:row>
  </x:sheetData>
  <x:dataValidations count="2">
    <x:dataValidation type="decimal" operator="between" sqref="D26:E68">
      <x:formula1>0</x:formula1>
      <x:formula2>1</x:formula2>
    </x:dataValidation>
    <x:dataValidation type="decimal" operator="greaterThanOrEqual" sqref="F26:F68">
      <x:formula1>0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27" hidden="0" customWidth="1"/>
    <x:col min="3" max="3" width="65" hidden="0" customWidth="1"/>
    <x:col min="4" max="4" width="85" hidden="0" customWidth="1"/>
    <x:col min="5" max="5" width="45" hidden="0" customWidth="1"/>
    <x:col min="6" max="6" width="72" hidden="0" customWidth="1"/>
    <x:col min="7" max="7" width="22" hidden="0" customWidth="1"/>
    <x:col min="8" max="8" width="37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Plan de calidad y controles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Umbrales nuevos son decisiones del equipo; marcos ISO/IEC 25010:2023 ed.2 y OWASP ASVS 5.0.0, sin certificación ni nivel completo.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2" customHeight="1">
      <x:c r="A5" s="6" t="str">
        <x:v>ID</x:v>
      </x:c>
      <x:c r="B5" s="6" t="str">
        <x:v>Dimensión</x:v>
      </x:c>
      <x:c r="C5" s="6" t="str">
        <x:v>Umbral y alcance</x:v>
      </x:c>
      <x:c r="D5" s="6" t="str">
        <x:v>Método / evidencia</x:v>
      </x:c>
      <x:c r="E5" s="6" t="str">
        <x:v>Responsable</x:v>
      </x:c>
      <x:c r="F5" s="6" t="str">
        <x:v>Momento y acción</x:v>
      </x:c>
      <x:c r="G5" s="6" t="str">
        <x:v>EDT</x:v>
      </x:c>
      <x:c r="H5" s="6" t="str">
        <x:v>Origen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125" customHeight="1">
      <x:c r="A6" s="11" t="str">
        <x:v>Q-1</x:v>
      </x:c>
      <x:c r="B6" s="11" t="str">
        <x:v>Revisión por pares</x:v>
      </x:c>
      <x:c r="C6" s="11" t="str">
        <x:v>100 % de cambios propios de código, scripts, infraestructura y configuración versionable aprobados por al menos un par distinto del autor.</x:v>
      </x:c>
      <x:c r="D6" s="11" t="str">
        <x:v>PR aprobados / PR integrados ×100; checklist y trazabilidad a requisito. Excluir binarios del fabricante; revisar su configuración y versión.</x:v>
      </x:c>
      <x:c r="E6" s="11" t="str">
        <x:v>DEV/INT/OPS ejecutan, PO controla</x:v>
      </x:c>
      <x:c r="F6" s="11" t="str">
        <x:v>En cada PR; ramas protegidas. Si falta aprobación, no integrar.</x:v>
      </x:c>
      <x:c r="G6" s="11" t="str">
        <x:v>2.x,3.x,5.1</x:v>
      </x:c>
      <x:c r="H6" s="11" t="str">
        <x:v>Nuevo umbral del equipo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125" customHeight="1">
      <x:c r="A7" s="11" t="str">
        <x:v>Q-2</x:v>
      </x:c>
      <x:c r="B7" s="11" t="str">
        <x:v>Pruebas unitarias</x:v>
      </x:c>
      <x:c r="C7" s="11" t="str">
        <x:v>≥80 % de líneas y ≥70 % de ramas del código propio; 100 % de reglas críticas de reserva, permisos e idempotencia con casos positivos y negativos.</x:v>
      </x:c>
      <x:c r="D7" s="11" t="str">
        <x:v>Informe CI; cobertura sobre código ejecutable propio; exclusiones generadas/documentadas aprobadas por QA. Casos críticos pasados / inventario crítico =100 %.</x:v>
      </x:c>
      <x:c r="E7" s="11" t="str">
        <x:v>DEV/INT ejecutan, QA verifica</x:v>
      </x:c>
      <x:c r="F7" s="11" t="str">
        <x:v>En cada build; si incumple, bloquear candidato y añadir pruebas.</x:v>
      </x:c>
      <x:c r="G7" s="11" t="str">
        <x:v>2.3-2.9,3.1-3.3</x:v>
      </x:c>
      <x:c r="H7" s="11" t="str">
        <x:v>Nuevo umbral del equipo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125" customHeight="1">
      <x:c r="A8" s="11" t="str">
        <x:v>Q-3</x:v>
      </x:c>
      <x:c r="B8" s="11" t="str">
        <x:v>Conformidad funcional</x:v>
      </x:c>
      <x:c r="C8" s="11" t="str">
        <x:v>100 % de casos críticos de extremo a extremo aprobados; cero solapamientos de reservas; error de sincronización ≤0,5 %.</x:v>
      </x:c>
      <x:c r="D8" s="11" t="str">
        <x:v>Suite con SSO, altas/bajas, reserva/cancelación, check-in y doble reserva. Errores / registros procesados ×100. Evidencia de datos y logs.</x:v>
      </x:c>
      <x:c r="E8" s="11" t="str">
        <x:v>QA e Integraciones; Tecnología acepta</x:v>
      </x:c>
      <x:c r="F8" s="11" t="str">
        <x:v>Cada integración y antes de piloto/UAT. Fallo crítico impide pase.</x:v>
      </x:c>
      <x:c r="G8" s="11" t="str">
        <x:v>2.4,2.5,3.1-3.5</x:v>
      </x:c>
      <x:c r="H8" s="11" t="str">
        <x:v>CE-2 y aceptación N1/N3; 100 % equipo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</x:row>
    <x:row r="9" ht="125" customHeight="1">
      <x:c r="A9" s="11" t="str">
        <x:v>Q-4</x:v>
      </x:c>
      <x:c r="B9" s="11" t="str">
        <x:v>Seguridad</x:v>
      </x:c>
      <x:c r="C9" s="11" t="str">
        <x:v>Cero hallazgos críticos o altos abiertos. ASVS v5.0.0-8.1.1: permisos documentados; 8.2.1: función con permiso explícito; 8.2.2: autorización por objeto; 8.3.1: control en servicio confiable.</x:v>
      </x:c>
      <x:c r="D9" s="11" t="str">
        <x:v>Prueba independiente K-5; usuario A no cancela reserva B; rol sin permiso no administra salas; acceso directo a API tampoco elude control. Análisis estático/dependencias y re-test. No se afirma nivel ASVS completo.</x:v>
      </x:c>
      <x:c r="E9" s="11" t="str">
        <x:v>Tercero prueba; Seguridad VCA acepta</x:v>
      </x:c>
      <x:c r="F9" s="11" t="str">
        <x:v>Antes de piloto: controles de acceso y revisión preliminar; informe final al 04/12, re-test antes de UAT. Si falla, bloquear.</x:v>
      </x:c>
      <x:c r="G9" s="11" t="str">
        <x:v>3.4,2.8,2.9</x:v>
      </x:c>
      <x:c r="H9" s="11" t="str">
        <x:v>RA-2 + OWASP ASVS5.0.0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 ht="125" customHeight="1">
      <x:c r="A10" s="11" t="str">
        <x:v>Q-5</x:v>
      </x:c>
      <x:c r="B10" s="11" t="str">
        <x:v>Rendimiento</x:v>
      </x:c>
      <x:c r="C10" s="11" t="str">
        <x:v>p95&lt;500 ms a 300 concurrentes (CE-3), y p95&lt;800 ms a 500 concurrentes (aceptación 3.0); error técnico &lt;1 % en cada escenario.</x:v>
      </x:c>
      <x:c r="D10" s="11" t="str">
        <x:v>Carga 30 min tras 5 min de calentamiento, mezcla reproducible reserva/búsqueda/cancelación; mismo tamaño de datos y topología prevista. p95 sobre solicitudes exitosas y errores por separado.</x:v>
      </x:c>
      <x:c r="E10" s="11" t="str">
        <x:v>QA mide; DevOps ajusta; Tecnología acepta</x:v>
      </x:c>
      <x:c r="F10" s="11" t="str">
        <x:v>3.5 y candidato final. Repetir tras cambio de consulta, configuración o capacidad.</x:v>
      </x:c>
      <x:c r="G10" s="11" t="str">
        <x:v>3.5,5.1,5.4</x:v>
      </x:c>
      <x:c r="H10" s="11" t="str">
        <x:v>CE-3; duración y error propuestos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125" customHeight="1">
      <x:c r="A11" s="11" t="str">
        <x:v>Q-6</x:v>
      </x:c>
      <x:c r="B11" s="11" t="str">
        <x:v>Confiabilidad y resiliencia</x:v>
      </x:c>
      <x:c r="C11" s="11" t="str">
        <x:v>Disponibilidad ≥99,5 % durante estabilización; recuperación ≤4 h y pérdida de datos ≤24 h en ensayo de restauración.</x:v>
      </x:c>
      <x:c r="D11" s="11" t="str">
        <x:v>Disponibilidad=(minutos acordados−indisponibilidad no planificada)/minutos acordados. Ventana24×7, sin excluir incidentes propios. Logs y prueba de restauración en staging.</x:v>
      </x:c>
      <x:c r="E11" s="11" t="str">
        <x:v>DevOps; Tecnología VCA acepta</x:v>
      </x:c>
      <x:c r="F11" s="11" t="str">
        <x:v>Monitoreo diario; ensayo antes de go-live. Incumplimiento genera incidente y plan correctivo.</x:v>
      </x:c>
      <x:c r="G11" s="11" t="str">
        <x:v>5.1,5.4</x:v>
      </x:c>
      <x:c r="H11" s="11" t="str">
        <x:v>99,5 % N3; recuperación propuesta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125" customHeight="1">
      <x:c r="A12" s="11" t="str">
        <x:v>Q-7</x:v>
      </x:c>
      <x:c r="B12" s="11" t="str">
        <x:v>Datos e inventario</x:v>
      </x:c>
      <x:c r="C12" s="11" t="str">
        <x:v>Discrepancia inventario ≤1 % y ocupación real versus sistema ≤5 %.</x:v>
      </x:c>
      <x:c r="D12" s="11" t="str">
        <x:v>Inventario: diferencias / puestos relevados. Ocupación: diferencia absoluta / conteo manual, por planta y franja; al menos 5 días de muestra. Cero manual se informa aparte.</x:v>
      </x:c>
      <x:c r="E12" s="11" t="str">
        <x:v>Servicios Generales; PO concilia</x:v>
      </x:c>
      <x:c r="F12" s="11" t="str">
        <x:v>Inventario antes de piloto; ocupación semanal en piloto y estabilización. No emitir recomendación con muestra insuficiente.</x:v>
      </x:c>
      <x:c r="G12" s="11" t="str">
        <x:v>2.2,2.5,5.6</x:v>
      </x:c>
      <x:c r="H12" s="11" t="str">
        <x:v>RA-4 y aceptación N3; muestra equipo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125" customHeight="1">
      <x:c r="A13" s="11" t="str">
        <x:v>Q-8</x:v>
      </x:c>
      <x:c r="B13" s="11" t="str">
        <x:v>Aceptación y usabilidad</x:v>
      </x:c>
      <x:c r="C13" s="11" t="str">
        <x:v>UAT ≥9,0/10 con al menos 120 usuarios; mediana de reserva + check-in ≤2 min; 100 % de escenarios críticos ejecutados; cero defectos bloqueantes.</x:v>
      </x:c>
      <x:c r="D13" s="11" t="str">
        <x:v>Puntaje medio de cuestionario aprobado por RR.HH.; lista de participantes y evidencia por caso. No sustituir ejecución por satisfacción.</x:v>
      </x:c>
      <x:c r="E13" s="11" t="str">
        <x:v>QA coordina, RR.HH. verifica; Sponsor firma</x:v>
      </x:c>
      <x:c r="F13" s="11" t="str">
        <x:v>16-19/03; evaluación diaria. Si falla, corregir, repetir casos y gestionar impacto en H-5.</x:v>
      </x:c>
      <x:c r="G13" s="11" t="str">
        <x:v>5.3</x:v>
      </x:c>
      <x:c r="H13" s="11" t="str">
        <x:v>N2/N3; cobertura crítica equipo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</x:row>
    <x:row r="100" ht="24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</x:row>
    <x:row r="101" ht="24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</x:row>
    <x:row r="107" ht="24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</x:row>
    <x:row r="111" ht="24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</x:row>
    <x:row r="112" ht="24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</x:row>
    <x:row r="113" ht="24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</x:row>
    <x:row r="116" ht="24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</x:row>
    <x:row r="117" ht="24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</x:row>
    <x:row r="118" ht="24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</x:row>
    <x:row r="120" ht="24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</x:row>
    <x:row r="121" ht="24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</x:row>
    <x:row r="122" ht="24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</x:row>
    <x:row r="123" ht="24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</x:row>
    <x:row r="124" ht="24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</x:row>
    <x:row r="125" ht="24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</x:row>
    <x:row r="126" ht="24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</x:row>
    <x:row r="127" ht="24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</x:row>
    <x:row r="128" ht="24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</x:row>
    <x:row r="129" ht="24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</x:row>
    <x:row r="130" ht="24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68" hidden="0" customWidth="1"/>
    <x:col min="3" max="3" width="20" hidden="0" customWidth="1"/>
    <x:col min="4" max="4" width="8" hidden="0" customWidth="1"/>
    <x:col min="5" max="5" width="8" hidden="0" customWidth="1"/>
    <x:col min="6" max="6" width="10" hidden="0" customWidth="1"/>
    <x:col min="7" max="7" width="13" hidden="0" customWidth="1"/>
    <x:col min="8" max="8" width="27" hidden="0" customWidth="1"/>
    <x:col min="9" max="9" width="21" hidden="0" customWidth="1"/>
    <x:col min="10" max="10" width="12" hidden="0" customWidth="1"/>
    <x:col min="11" max="11" width="12" hidden="0" customWidth="1"/>
    <x:col min="12" max="12" width="12" hidden="0" customWidth="1"/>
    <x:col min="13" max="13" width="20" hidden="0" customWidth="1"/>
    <x:col min="14" max="14" width="19" hidden="0" customWidth="1"/>
    <x:col min="15" max="15" width="65" hidden="0" customWidth="1"/>
    <x:col min="16" max="16" width="78" hidden="0" customWidth="1"/>
    <x:col min="17" max="17" width="68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Registro de riesgos y respuestas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P/I inherentes1-5; residual es meta pendiente. Estado: identificado / plan propuesto. Reserva incremental VCA, sin duplicar K-2/K-5.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2" customHeight="1">
      <x:c r="A5" s="6" t="str">
        <x:v>ID</x:v>
      </x:c>
      <x:c r="B5" s="6" t="str">
        <x:v>Causa, evento y efecto</x:v>
      </x:c>
      <x:c r="C5" s="6" t="str">
        <x:v>EDT</x:v>
      </x:c>
      <x:c r="D5" s="6" t="str">
        <x:v>P</x:v>
      </x:c>
      <x:c r="E5" s="6" t="str">
        <x:v>I</x:v>
      </x:c>
      <x:c r="F5" s="6" t="str">
        <x:v>P×I</x:v>
      </x:c>
      <x:c r="G5" s="6" t="str">
        <x:v>Prioridad</x:v>
      </x:c>
      <x:c r="H5" s="6" t="str">
        <x:v>Dueño</x:v>
      </x:c>
      <x:c r="I5" s="6" t="str">
        <x:v>Estrategia</x:v>
      </x:c>
      <x:c r="J5" s="6" t="str">
        <x:v>P residual</x:v>
      </x:c>
      <x:c r="K5" s="6" t="str">
        <x:v>I residual</x:v>
      </x:c>
      <x:c r="L5" s="6" t="str">
        <x:v>R residual</x:v>
      </x:c>
      <x:c r="M5" s="6" t="str">
        <x:v>Reserva USD</x:v>
      </x:c>
      <x:c r="N5" s="6" t="str">
        <x:v>Mes exposición</x:v>
      </x:c>
      <x:c r="O5" s="6" t="str">
        <x:v>Prevención</x:v>
      </x:c>
      <x:c r="P5" s="6" t="str">
        <x:v>Disparador y respuesta</x:v>
      </x:c>
      <x:c r="Q5" s="6" t="str">
        <x:v>Monitoreo / evidencia</x:v>
      </x:c>
      <x:c r="R5" s="2"/>
      <x:c r="S5" s="2"/>
      <x:c r="T5" s="2"/>
    </x:row>
    <x:row r="6" ht="90" customHeight="1">
      <x:c r="A6" s="11" t="str">
        <x:v>RI-1</x:v>
      </x:c>
      <x:c r="B6" s="11" t="str">
        <x:v>Omisión de check-in o geocerca imprecisa produce registros de ocupación inexactos y una discrepancia &gt;5 % que invalida la recomendación de planta 4.</x:v>
      </x:c>
      <x:c r="C6" s="11" t="str">
        <x:v>2.5,5.4,5.6</x:v>
      </x:c>
      <x:c r="D6" s="26" t="n">
        <x:v>3</x:v>
      </x:c>
      <x:c r="E6" s="26" t="n">
        <x:v>5</x:v>
      </x:c>
      <x:c r="F6" s="11" t="n">
        <x:f>D6*E6</x:f>
        <x:v>15</x:v>
      </x:c>
      <x:c r="G6" s="11" t="str">
        <x:f>IF(F6&gt;=15,"Alta",IF(F6&gt;=6,"Media","Baja"))</x:f>
        <x:v>Alta</x:v>
      </x:c>
      <x:c r="H6" s="11" t="str">
        <x:v>PO / Servicios Generales</x:v>
      </x:c>
      <x:c r="I6" s="11" t="str">
        <x:v>Mitigar</x:v>
      </x:c>
      <x:c r="J6" s="26" t="n">
        <x:v>2</x:v>
      </x:c>
      <x:c r="K6" s="26" t="n">
        <x:v>4</x:v>
      </x:c>
      <x:c r="L6" s="11" t="n">
        <x:f>J6*K6</x:f>
        <x:v>8</x:v>
      </x:c>
      <x:c r="M6" s="27" t="n">
        <x:f>SUMIF(Contingencia!$A$6:$A$26,A6,Contingencia!$E$6:$E$26)</x:f>
        <x:v>2000</x:v>
      </x:c>
      <x:c r="N6" s="26" t="str">
        <x:v>2027-04</x:v>
      </x:c>
      <x:c r="O6" s="11" t="str">
        <x:v>Activar recordatorios y liberación automática. Validar QR y conteo manual en piloto.</x:v>
      </x:c>
      <x:c r="P6" s="11" t="str">
        <x:v>Si discrepancia &gt;5 % en dos muestras: congelar informe, ampliar conteo manual y corregir reglas.</x:v>
      </x:c>
      <x:c r="Q6" s="11" t="str">
        <x:v>Semanal en piloto y estabilización; SG concilia registros con muestra estratificada por planta.</x:v>
      </x:c>
      <x:c r="R6" s="2"/>
      <x:c r="S6" s="2"/>
      <x:c r="T6" s="2"/>
    </x:row>
    <x:row r="7" ht="90" customHeight="1">
      <x:c r="A7" s="11" t="str">
        <x:v>RI-2</x:v>
      </x:c>
      <x:c r="B7" s="11" t="str">
        <x:v>Permisos insuficientes, límites o incompatibilidad de Entra ID, HRIS o Graph bloquean conectores y requieren retrabajo.</x:v>
      </x:c>
      <x:c r="C7" s="11" t="str">
        <x:v>3.1-3.5,5.2</x:v>
      </x:c>
      <x:c r="D7" s="26" t="n">
        <x:v>3</x:v>
      </x:c>
      <x:c r="E7" s="26" t="n">
        <x:v>4</x:v>
      </x:c>
      <x:c r="F7" s="11" t="n">
        <x:f>D7*E7</x:f>
        <x:v>12</x:v>
      </x:c>
      <x:c r="G7" s="11" t="str">
        <x:f>IF(F7&gt;=15,"Alta",IF(F7&gt;=6,"Media","Baja"))</x:f>
        <x:v>Media</x:v>
      </x:c>
      <x:c r="H7" s="11" t="str">
        <x:v>Tecnología VCA</x:v>
      </x:c>
      <x:c r="I7" s="11" t="str">
        <x:v>Mitigar</x:v>
      </x:c>
      <x:c r="J7" s="26" t="n">
        <x:v>2</x:v>
      </x:c>
      <x:c r="K7" s="26" t="n">
        <x:v>3</x:v>
      </x:c>
      <x:c r="L7" s="11" t="n">
        <x:f>J7*K7</x:f>
        <x:v>6</x:v>
      </x:c>
      <x:c r="M7" s="27" t="n">
        <x:f>SUMIF(Contingencia!$A$6:$A$26,A7,Contingencia!$E$6:$E$26)</x:f>
        <x:v>2400</x:v>
      </x:c>
      <x:c r="N7" s="26" t="str">
        <x:v>2026-11</x:v>
      </x:c>
      <x:c r="O7" s="11" t="str">
        <x:v>Probar autenticación, cuotas y contratos API en sandbox antes de integrar.</x:v>
      </x:c>
      <x:c r="P7" s="11" t="str">
        <x:v>Si error de permisos persiste &gt;1 día: escalar al fabricante y habilitar cuota/entorno adicional autorizado.</x:v>
      </x:c>
      <x:c r="Q7" s="11" t="str">
        <x:v>Semanal C-4 y diario durante integración; log de fallos y bloqueos.</x:v>
      </x:c>
      <x:c r="R7" s="2"/>
      <x:c r="S7" s="2"/>
      <x:c r="T7" s="2"/>
    </x:row>
    <x:row r="8" ht="90" customHeight="1">
      <x:c r="A8" s="11" t="str">
        <x:v>RI-3</x:v>
      </x:c>
      <x:c r="B8" s="11" t="str">
        <x:v>Temor al control de presentismo y pérdida del puesto fijo genera resistencia y adopción inferior al 70 %.</x:v>
      </x:c>
      <x:c r="C8" s="11" t="str">
        <x:v>4.1-4.5,5.3</x:v>
      </x:c>
      <x:c r="D8" s="26" t="n">
        <x:v>4</x:v>
      </x:c>
      <x:c r="E8" s="26" t="n">
        <x:v>4</x:v>
      </x:c>
      <x:c r="F8" s="11" t="n">
        <x:f>D8*E8</x:f>
        <x:v>16</x:v>
      </x:c>
      <x:c r="G8" s="11" t="str">
        <x:f>IF(F8&gt;=15,"Alta",IF(F8&gt;=6,"Media","Baja"))</x:f>
        <x:v>Alta</x:v>
      </x:c>
      <x:c r="H8" s="11" t="str">
        <x:v>RR.HH. VCA</x:v>
      </x:c>
      <x:c r="I8" s="11" t="str">
        <x:v>Mitigar</x:v>
      </x:c>
      <x:c r="J8" s="26" t="n">
        <x:v>3</x:v>
      </x:c>
      <x:c r="K8" s="26" t="n">
        <x:v>3</x:v>
      </x:c>
      <x:c r="L8" s="11" t="n">
        <x:f>J8*K8</x:f>
        <x:v>9</x:v>
      </x:c>
      <x:c r="M8" s="27" t="n">
        <x:f>SUMIF(Contingencia!$A$6:$A$26,A8,Contingencia!$E$6:$E$26)</x:f>
        <x:v>1800</x:v>
      </x:c>
      <x:c r="N8" s="26" t="str">
        <x:v>2027-03</x:v>
      </x:c>
      <x:c r="O8" s="11" t="str">
        <x:v>Comunicar uso agregado de datos, política y referentes. Medir intención antes del piloto.</x:v>
      </x:c>
      <x:c r="P8" s="11" t="str">
        <x:v>Si intención &lt;70 % o UAT &lt;9: sesiones focalizadas y piezas aclaratorias antes del lanzamiento.</x:v>
      </x:c>
      <x:c r="Q8" s="11" t="str">
        <x:v>Quincenal C-13/C-15; encuestas y motivos de rechazo.</x:v>
      </x:c>
      <x:c r="R8" s="2"/>
      <x:c r="S8" s="2"/>
      <x:c r="T8" s="2"/>
    </x:row>
    <x:row r="9" ht="90" customHeight="1">
      <x:c r="A9" s="11" t="str">
        <x:v>RI-4</x:v>
      </x:c>
      <x:c r="B9" s="11" t="str">
        <x:v>Pico de demanda o cláusula de alquiler impide devolver planta 4 aunque WorkHub funcione.</x:v>
      </x:c>
      <x:c r="C9" s="11" t="str">
        <x:v>5.6</x:v>
      </x:c>
      <x:c r="D9" s="26" t="n">
        <x:v>2</x:v>
      </x:c>
      <x:c r="E9" s="26" t="n">
        <x:v>5</x:v>
      </x:c>
      <x:c r="F9" s="11" t="n">
        <x:f>D9*E9</x:f>
        <x:v>10</x:v>
      </x:c>
      <x:c r="G9" s="11" t="str">
        <x:f>IF(F9&gt;=15,"Alta",IF(F9&gt;=6,"Media","Baja"))</x:f>
        <x:v>Media</x:v>
      </x:c>
      <x:c r="H9" s="11" t="str">
        <x:v>Sponsor / Servicios Generales</x:v>
      </x:c>
      <x:c r="I9" s="11" t="str">
        <x:v>Aceptar pasiva</x:v>
      </x:c>
      <x:c r="J9" s="26" t="n">
        <x:v>2</x:v>
      </x:c>
      <x:c r="K9" s="26" t="n">
        <x:v>5</x:v>
      </x:c>
      <x:c r="L9" s="11" t="n">
        <x:f>J9*K9</x:f>
        <x:v>10</x:v>
      </x:c>
      <x:c r="M9" s="27" t="n">
        <x:f>SUMIF(Contingencia!$A$6:$A$26,A9,Contingencia!$E$6:$E$26)</x:f>
        <x:v>0</x:v>
      </x:c>
      <x:c r="N9" s="26" t="str">
        <x:v>2027-04</x:v>
      </x:c>
      <x:c r="O9" s="11" t="str">
        <x:v>No se presupone devolución ni ahorro realizado. El informe conserva escenarios de ocupación.</x:v>
      </x:c>
      <x:c r="P9" s="11" t="str">
        <x:v>Si demanda excede capacidad o contrato impide salida: Sponsor revisa el caso de negocio, sin gasto automático del proyecto.</x:v>
      </x:c>
      <x:c r="Q9" s="11" t="str">
        <x:v>Mensual al Comité; informe de demanda y revisión contractual.</x:v>
      </x:c>
      <x:c r="R9" s="2"/>
      <x:c r="S9" s="2"/>
      <x:c r="T9" s="2"/>
    </x:row>
    <x:row r="10" ht="90" customHeight="1">
      <x:c r="A10" s="11" t="str">
        <x:v>RI-5</x:v>
      </x:c>
      <x:c r="B10" s="11" t="str">
        <x:v>Extensión del cierre de balances más allá del 15/03 bloquea UAT crítica y desplaza hitos.</x:v>
      </x:c>
      <x:c r="C10" s="11" t="str">
        <x:v>5.3,5.4,1.6</x:v>
      </x:c>
      <x:c r="D10" s="26" t="n">
        <x:v>3</x:v>
      </x:c>
      <x:c r="E10" s="26" t="n">
        <x:v>5</x:v>
      </x:c>
      <x:c r="F10" s="11" t="n">
        <x:f>D10*E10</x:f>
        <x:v>15</x:v>
      </x:c>
      <x:c r="G10" s="11" t="str">
        <x:f>IF(F10&gt;=15,"Alta",IF(F10&gt;=6,"Media","Baja"))</x:f>
        <x:v>Alta</x:v>
      </x:c>
      <x:c r="H10" s="11" t="str">
        <x:v>Sponsor</x:v>
      </x:c>
      <x:c r="I10" s="11" t="str">
        <x:v>Aceptar activa</x:v>
      </x:c>
      <x:c r="J10" s="26" t="n">
        <x:v>3</x:v>
      </x:c>
      <x:c r="K10" s="26" t="n">
        <x:v>5</x:v>
      </x:c>
      <x:c r="L10" s="11" t="n">
        <x:f>J10*K10</x:f>
        <x:v>15</x:v>
      </x:c>
      <x:c r="M10" s="27" t="n">
        <x:f>SUMIF(Contingencia!$A$6:$A$26,A10,Contingencia!$E$6:$E$26)</x:f>
        <x:v>0</x:v>
      </x:c>
      <x:c r="N10" s="26" t="str">
        <x:v>2027-03</x:v>
      </x:c>
      <x:c r="O10" s="11" t="str">
        <x:v>Reservar ventana y participantes por escrito. Preparar casos y ambiente sin despliegue masivo durante balances.</x:v>
      </x:c>
      <x:c r="P10" s="11" t="str">
        <x:v>Si al 08/03 no se confirma 16/03: escalar al Sponsor en 48 h y tramitar cambio de hitos. No comprar una fecha ficticia.</x:v>
      </x:c>
      <x:c r="Q10" s="11" t="str">
        <x:v>Semanal desde febrero y diario al 15/03; confirmación de Finanzas.</x:v>
      </x:c>
      <x:c r="R10" s="2"/>
      <x:c r="S10" s="2"/>
      <x:c r="T10" s="2"/>
    </x:row>
    <x:row r="11" ht="90" customHeight="1">
      <x:c r="A11" s="11" t="str">
        <x:v>RI-6</x:v>
      </x:c>
      <x:c r="B11" s="11" t="str">
        <x:v>Solape SS+5 inicia escritorios antes de cerrar reglas y cambios tardíos generan retrabajo que amenaza H-3.</x:v>
      </x:c>
      <x:c r="C11" s="11" t="str">
        <x:v>2.1,2.3,5.2</x:v>
      </x:c>
      <x:c r="D11" s="26" t="n">
        <x:v>3</x:v>
      </x:c>
      <x:c r="E11" s="26" t="n">
        <x:v>3</x:v>
      </x:c>
      <x:c r="F11" s="11" t="n">
        <x:f>D11*E11</x:f>
        <x:v>9</x:v>
      </x:c>
      <x:c r="G11" s="11" t="str">
        <x:f>IF(F11&gt;=15,"Alta",IF(F11&gt;=6,"Media","Baja"))</x:f>
        <x:v>Media</x:v>
      </x:c>
      <x:c r="H11" s="11" t="str">
        <x:v>PO</x:v>
      </x:c>
      <x:c r="I11" s="11" t="str">
        <x:v>Mitigar</x:v>
      </x:c>
      <x:c r="J11" s="26" t="n">
        <x:v>2</x:v>
      </x:c>
      <x:c r="K11" s="26" t="n">
        <x:v>3</x:v>
      </x:c>
      <x:c r="L11" s="11" t="n">
        <x:f>J11*K11</x:f>
        <x:v>6</x:v>
      </x:c>
      <x:c r="M11" s="27" t="n">
        <x:f>SUMIF(Contingencia!$A$6:$A$26,A11,Contingencia!$E$6:$E$26)</x:f>
        <x:v>0</x:v>
      </x:c>
      <x:c r="N11" s="26" t="str">
        <x:v>2026-11</x:v>
      </x:c>
      <x:c r="O11" s="11" t="str">
        <x:v>Validar reglas críticas en primera semana y versionar decisiones.</x:v>
      </x:c>
      <x:c r="P11" s="11" t="str">
        <x:v>Si regla cambia después de diseño: analizar impacto, corregir dentro de K-2; cambio de alcance solo por comité.</x:v>
      </x:c>
      <x:c r="Q11" s="11" t="str">
        <x:v>Semanal; registro de cambios y holgura restante del piloto.</x:v>
      </x:c>
      <x:c r="R11" s="2"/>
      <x:c r="S11" s="2"/>
      <x:c r="T11" s="2"/>
    </x:row>
    <x:row r="12" ht="90" customHeight="1">
      <x:c r="A12" s="11" t="str">
        <x:v>RI-7</x:v>
      </x:c>
      <x:c r="B12" s="11" t="str">
        <x:v>Vacaciones y feriados reducen participación de 300 usuarios del piloto y ponen H-3 del 19/12 en riesgo.</x:v>
      </x:c>
      <x:c r="C12" s="11" t="str">
        <x:v>5.2</x:v>
      </x:c>
      <x:c r="D12" s="26" t="n">
        <x:v>4</x:v>
      </x:c>
      <x:c r="E12" s="26" t="n">
        <x:v>4</x:v>
      </x:c>
      <x:c r="F12" s="11" t="n">
        <x:f>D12*E12</x:f>
        <x:v>16</x:v>
      </x:c>
      <x:c r="G12" s="11" t="str">
        <x:f>IF(F12&gt;=15,"Alta",IF(F12&gt;=6,"Media","Baja"))</x:f>
        <x:v>Alta</x:v>
      </x:c>
      <x:c r="H12" s="11" t="str">
        <x:v>PO</x:v>
      </x:c>
      <x:c r="I12" s="11" t="str">
        <x:v>Mitigar</x:v>
      </x:c>
      <x:c r="J12" s="26" t="n">
        <x:v>2</x:v>
      </x:c>
      <x:c r="K12" s="26" t="n">
        <x:v>4</x:v>
      </x:c>
      <x:c r="L12" s="11" t="n">
        <x:f>J12*K12</x:f>
        <x:v>8</x:v>
      </x:c>
      <x:c r="M12" s="27" t="n">
        <x:f>SUMIF(Contingencia!$A$6:$A$26,A12,Contingencia!$E$6:$E$26)</x:f>
        <x:v>1500</x:v>
      </x:c>
      <x:c r="N12" s="26" t="str">
        <x:v>2026-12</x:v>
      </x:c>
      <x:c r="O12" s="11" t="str">
        <x:v>Confirmar participantes y suplentes antes del 18/11; distribuir casos por sesión.</x:v>
      </x:c>
      <x:c r="P12" s="11" t="str">
        <x:v>Si ejecución &lt;90 % de casos programados en weekly: recuperar sesiones VCA antes del 18/12; si no alcanza, escalar H-3.</x:v>
      </x:c>
      <x:c r="Q12" s="11" t="str">
        <x:v>Diario C-2 durante piloto; asistencia y casos ejecutados.</x:v>
      </x:c>
      <x:c r="R12" s="2"/>
      <x:c r="S12" s="2"/>
      <x:c r="T12" s="2"/>
    </x:row>
    <x:row r="13" ht="90" customHeight="1">
      <x:c r="A13" s="11" t="str">
        <x:v>RI-8</x:v>
      </x:c>
      <x:c r="B13" s="11" t="str">
        <x:v>UAT concentrada en cuatro días y 120 usuarios deja sesiones incompletas o puntaje &lt;9 y demora el go-live.</x:v>
      </x:c>
      <x:c r="C13" s="11" t="str">
        <x:v>5.3,5.4</x:v>
      </x:c>
      <x:c r="D13" s="26" t="n">
        <x:v>3</x:v>
      </x:c>
      <x:c r="E13" s="26" t="n">
        <x:v>5</x:v>
      </x:c>
      <x:c r="F13" s="11" t="n">
        <x:f>D13*E13</x:f>
        <x:v>15</x:v>
      </x:c>
      <x:c r="G13" s="11" t="str">
        <x:f>IF(F13&gt;=15,"Alta",IF(F13&gt;=6,"Media","Baja"))</x:f>
        <x:v>Alta</x:v>
      </x:c>
      <x:c r="H13" s="11" t="str">
        <x:v>QA / RR.HH.</x:v>
      </x:c>
      <x:c r="I13" s="11" t="str">
        <x:v>Mitigar</x:v>
      </x:c>
      <x:c r="J13" s="26" t="n">
        <x:v>2</x:v>
      </x:c>
      <x:c r="K13" s="26" t="n">
        <x:v>5</x:v>
      </x:c>
      <x:c r="L13" s="11" t="n">
        <x:f>J13*K13</x:f>
        <x:v>10</x:v>
      </x:c>
      <x:c r="M13" s="27" t="n">
        <x:f>SUMIF(Contingencia!$A$6:$A$26,A13,Contingencia!$E$6:$E$26)</x:f>
        <x:v>2500</x:v>
      </x:c>
      <x:c r="N13" s="26" t="str">
        <x:v>2027-03</x:v>
      </x:c>
      <x:c r="O13" s="11" t="str">
        <x:v>Confirmar 120 usuarios y suplentes, datos y casos listos al 15/03; sesiones paralelas de 90 min.</x:v>
      </x:c>
      <x:c r="P13" s="11" t="str">
        <x:v>Si al segundo día se ejecutó &lt;50 % de casos o nota proyectada &lt;9: recuperar sesiones y ampliar dedicación VCA autorizada; no omitir aceptación.</x:v>
      </x:c>
      <x:c r="Q13" s="11" t="str">
        <x:v>Diario 16-19/03; tablero de casos, defectos y puntajes.</x:v>
      </x:c>
      <x:c r="R13" s="2"/>
      <x:c r="S13" s="2"/>
      <x:c r="T13" s="2"/>
    </x:row>
    <x:row r="14" ht="90" customHeight="1">
      <x:c r="A14" s="11" t="str">
        <x:v>RI-9</x:v>
      </x:c>
      <x:c r="B14" s="11" t="str">
        <x:v>Vulnerabilidades de configuración o bot producen hallazgos críticos/altos e impiden RA-2.</x:v>
      </x:c>
      <x:c r="C14" s="11" t="str">
        <x:v>3.4,2.8,2.9</x:v>
      </x:c>
      <x:c r="D14" s="26" t="n">
        <x:v>3</x:v>
      </x:c>
      <x:c r="E14" s="26" t="n">
        <x:v>5</x:v>
      </x:c>
      <x:c r="F14" s="11" t="n">
        <x:f>D14*E14</x:f>
        <x:v>15</x:v>
      </x:c>
      <x:c r="G14" s="11" t="str">
        <x:f>IF(F14&gt;=15,"Alta",IF(F14&gt;=6,"Media","Baja"))</x:f>
        <x:v>Alta</x:v>
      </x:c>
      <x:c r="H14" s="11" t="str">
        <x:v>Seguridad VCA / Integraciones</x:v>
      </x:c>
      <x:c r="I14" s="11" t="str">
        <x:v>Transferir</x:v>
      </x:c>
      <x:c r="J14" s="26" t="n">
        <x:v>2</x:v>
      </x:c>
      <x:c r="K14" s="26" t="n">
        <x:v>5</x:v>
      </x:c>
      <x:c r="L14" s="11" t="n">
        <x:f>J14*K14</x:f>
        <x:v>10</x:v>
      </x:c>
      <x:c r="M14" s="27" t="n">
        <x:f>SUMIF(Contingencia!$A$6:$A$26,A14,Contingencia!$E$6:$E$26)</x:f>
        <x:v>0</x:v>
      </x:c>
      <x:c r="N14" s="26" t="str">
        <x:v>2026-12</x:v>
      </x:c>
      <x:c r="O14" s="11" t="str">
        <x:v>Exigir en K-2 corrección de defectos y en K-5 prueba independiente y re-test incluidos; criterios Q-4.</x:v>
      </x:c>
      <x:c r="P14" s="11" t="str">
        <x:v>Hallazgo crítico/alto: bloquear pase y exigir corrección y re-test al proveedor. Transferencia propuesta por contrato, sin suponer contrato firmado.</x:v>
      </x:c>
      <x:c r="Q14" s="11" t="str">
        <x:v>Semanal desde 13/11; informe del tercero y cierre validado por Seguridad.</x:v>
      </x:c>
      <x:c r="R14" s="2"/>
      <x:c r="S14" s="2"/>
      <x:c r="T14" s="2"/>
    </x:row>
    <x:row r="15" ht="90" customHeight="1">
      <x:c r="A15" s="11" t="str">
        <x:v>RI-10</x:v>
      </x:c>
      <x:c r="B15" s="11" t="str">
        <x:v>Consulta de planos y dimensionamiento insuficiente no alcanzan p95&lt;500 ms a 300 usuarios y exige capacidad extra.</x:v>
      </x:c>
      <x:c r="C15" s="11" t="str">
        <x:v>3.5,5.1,5.4</x:v>
      </x:c>
      <x:c r="D15" s="26" t="n">
        <x:v>3</x:v>
      </x:c>
      <x:c r="E15" s="26" t="n">
        <x:v>4</x:v>
      </x:c>
      <x:c r="F15" s="11" t="n">
        <x:f>D15*E15</x:f>
        <x:v>12</x:v>
      </x:c>
      <x:c r="G15" s="11" t="str">
        <x:f>IF(F15&gt;=15,"Alta",IF(F15&gt;=6,"Media","Baja"))</x:f>
        <x:v>Media</x:v>
      </x:c>
      <x:c r="H15" s="11" t="str">
        <x:v>DevOps</x:v>
      </x:c>
      <x:c r="I15" s="11" t="str">
        <x:v>Mitigar</x:v>
      </x:c>
      <x:c r="J15" s="26" t="n">
        <x:v>2</x:v>
      </x:c>
      <x:c r="K15" s="26" t="n">
        <x:v>3</x:v>
      </x:c>
      <x:c r="L15" s="11" t="n">
        <x:f>J15*K15</x:f>
        <x:v>6</x:v>
      </x:c>
      <x:c r="M15" s="27" t="n">
        <x:f>SUMIF(Contingencia!$A$6:$A$26,A15,Contingencia!$E$6:$E$26)</x:f>
        <x:v>2000</x:v>
      </x:c>
      <x:c r="N15" s="26" t="str">
        <x:v>2027-03</x:v>
      </x:c>
      <x:c r="O15" s="11" t="str">
        <x:v>Ejecutar carga representativa y perfilar consultas antes de UAT.</x:v>
      </x:c>
      <x:c r="P15" s="11" t="str">
        <x:v>Si p95≥500 ms a 300 concurrentes o ≥800 ms a 500: optimizar en K-2 y habilitar capacidad Azure adicional por consumo, con tope autorizado.</x:v>
      </x:c>
      <x:c r="Q15" s="11" t="str">
        <x:v>Cada build candidato y durante estabilización; p95, errores y costo diario.</x:v>
      </x:c>
      <x:c r="R15" s="2"/>
      <x:c r="S15" s="2"/>
      <x:c r="T15" s="2"/>
    </x:row>
    <x:row r="16" ht="90" customHeight="1">
      <x:c r="A16" s="11" t="str">
        <x:v>RI-11</x:v>
      </x:c>
      <x:c r="B16" s="11" t="str">
        <x:v>Datos HRIS o planos desactualizados causan errores de sincronización &gt;0,5 % o inventario &gt;1 % y reservas inválidas.</x:v>
      </x:c>
      <x:c r="C16" s="11" t="str">
        <x:v>2.2,3.2</x:v>
      </x:c>
      <x:c r="D16" s="26" t="n">
        <x:v>3</x:v>
      </x:c>
      <x:c r="E16" s="26" t="n">
        <x:v>4</x:v>
      </x:c>
      <x:c r="F16" s="11" t="n">
        <x:f>D16*E16</x:f>
        <x:v>12</x:v>
      </x:c>
      <x:c r="G16" s="11" t="str">
        <x:f>IF(F16&gt;=15,"Alta",IF(F16&gt;=6,"Media","Baja"))</x:f>
        <x:v>Media</x:v>
      </x:c>
      <x:c r="H16" s="11" t="str">
        <x:v>Tecnología / Servicios Generales</x:v>
      </x:c>
      <x:c r="I16" s="11" t="str">
        <x:v>Mitigar</x:v>
      </x:c>
      <x:c r="J16" s="26" t="n">
        <x:v>2</x:v>
      </x:c>
      <x:c r="K16" s="26" t="n">
        <x:v>3</x:v>
      </x:c>
      <x:c r="L16" s="11" t="n">
        <x:f>J16*K16</x:f>
        <x:v>6</x:v>
      </x:c>
      <x:c r="M16" s="27" t="n">
        <x:f>SUMIF(Contingencia!$A$6:$A$26,A16,Contingencia!$E$6:$E$26)</x:f>
        <x:v>1800</x:v>
      </x:c>
      <x:c r="N16" s="26" t="str">
        <x:v>2026-11</x:v>
      </x:c>
      <x:c r="O16" s="11" t="str">
        <x:v>Perfilar datos, validar inventario y hacer carga de ensayo con conciliación.</x:v>
      </x:c>
      <x:c r="P16" s="11" t="str">
        <x:v>Si se excede umbral: detener importación, corregir fuente VCA y repetir conciliación antes de habilitar.</x:v>
      </x:c>
      <x:c r="Q16" s="11" t="str">
        <x:v>Por importación y semanal en piloto; conteo esperado versus recibido.</x:v>
      </x:c>
      <x:c r="R16" s="2"/>
      <x:c r="S16" s="2"/>
      <x:c r="T16" s="2"/>
    </x:row>
    <x:row r="17" ht="90" customHeight="1">
      <x:c r="A17" s="11" t="str">
        <x:v>RI-12</x:v>
      </x:c>
      <x:c r="B17" s="11" t="str">
        <x:v>Reservas simultáneas WorkHub/Exchange producen dobles reservas y violan CE-2.</x:v>
      </x:c>
      <x:c r="C17" s="11" t="str">
        <x:v>2.4,3.3</x:v>
      </x:c>
      <x:c r="D17" s="26" t="n">
        <x:v>3</x:v>
      </x:c>
      <x:c r="E17" s="26" t="n">
        <x:v>4</x:v>
      </x:c>
      <x:c r="F17" s="11" t="n">
        <x:f>D17*E17</x:f>
        <x:v>12</x:v>
      </x:c>
      <x:c r="G17" s="11" t="str">
        <x:f>IF(F17&gt;=15,"Alta",IF(F17&gt;=6,"Media","Baja"))</x:f>
        <x:v>Media</x:v>
      </x:c>
      <x:c r="H17" s="11" t="str">
        <x:v>Integraciones</x:v>
      </x:c>
      <x:c r="I17" s="11" t="str">
        <x:v>Mitigar</x:v>
      </x:c>
      <x:c r="J17" s="26" t="n">
        <x:v>2</x:v>
      </x:c>
      <x:c r="K17" s="26" t="n">
        <x:v>4</x:v>
      </x:c>
      <x:c r="L17" s="11" t="n">
        <x:f>J17*K17</x:f>
        <x:v>8</x:v>
      </x:c>
      <x:c r="M17" s="27" t="n">
        <x:f>SUMIF(Contingencia!$A$6:$A$26,A17,Contingencia!$E$6:$E$26)</x:f>
        <x:v>0</x:v>
      </x:c>
      <x:c r="N17" s="26" t="str">
        <x:v>2026-12</x:v>
      </x:c>
      <x:c r="O17" s="11" t="str">
        <x:v>Pruebas de concurrencia, idempotencia, reintento y conciliación bidireccional.</x:v>
      </x:c>
      <x:c r="P17" s="11" t="str">
        <x:v>Un solapamiento confirmado: bloquear conector afectado, aplicar corrección K-2 y repetir casos de carrera.</x:v>
      </x:c>
      <x:c r="Q17" s="11" t="str">
        <x:v>Cada despliegue y diario en piloto; alertas de duplicados.</x:v>
      </x:c>
      <x:c r="R17" s="2"/>
      <x:c r="S17" s="2"/>
      <x:c r="T17" s="2"/>
    </x:row>
    <x:row r="18" ht="90" customHeight="1">
      <x:c r="A18" s="11" t="str">
        <x:v>RI-13</x:v>
      </x:c>
      <x:c r="B18" s="11" t="str">
        <x:v>Ausencia de referentes VCA con dedicación limitada o rotación de Tandem demora validaciones y pierde conocimiento.</x:v>
      </x:c>
      <x:c r="C18" s="11" t="str">
        <x:v>2.1,5.2,5.3</x:v>
      </x:c>
      <x:c r="D18" s="26" t="n">
        <x:v>3</x:v>
      </x:c>
      <x:c r="E18" s="26" t="n">
        <x:v>4</x:v>
      </x:c>
      <x:c r="F18" s="11" t="n">
        <x:f>D18*E18</x:f>
        <x:v>12</x:v>
      </x:c>
      <x:c r="G18" s="11" t="str">
        <x:f>IF(F18&gt;=15,"Alta",IF(F18&gt;=6,"Media","Baja"))</x:f>
        <x:v>Media</x:v>
      </x:c>
      <x:c r="H18" s="11" t="str">
        <x:v>PM</x:v>
      </x:c>
      <x:c r="I18" s="11" t="str">
        <x:v>Mitigar</x:v>
      </x:c>
      <x:c r="J18" s="26" t="n">
        <x:v>2</x:v>
      </x:c>
      <x:c r="K18" s="26" t="n">
        <x:v>3</x:v>
      </x:c>
      <x:c r="L18" s="11" t="n">
        <x:f>J18*K18</x:f>
        <x:v>6</x:v>
      </x:c>
      <x:c r="M18" s="27" t="n">
        <x:f>SUMIF(Contingencia!$A$6:$A$26,A18,Contingencia!$E$6:$E$26)</x:f>
        <x:v>1500</x:v>
      </x:c>
      <x:c r="N18" s="26" t="str">
        <x:v>2027-03</x:v>
      </x:c>
      <x:c r="O18" s="11" t="str">
        <x:v>Nombrar suplentes y mantener runbooks y revisión cruzada dentro de tareas existentes.</x:v>
      </x:c>
      <x:c r="P18" s="11" t="str">
        <x:v>Ausencia &gt;2 días en ruta sensible: activar suplente; financiar solo transferencia adicional VCA, reemplazo Tandem a cargo K-2.</x:v>
      </x:c>
      <x:c r="Q18" s="11" t="str">
        <x:v>Weekly; disponibilidad confirmada dos semanas hacia adelante.</x:v>
      </x:c>
      <x:c r="R18" s="2"/>
      <x:c r="S18" s="2"/>
      <x:c r="T18" s="2"/>
    </x:row>
    <x:row r="19" ht="90" customHeight="1">
      <x:c r="A19" s="11" t="str">
        <x:v>RI-14</x:v>
      </x:c>
      <x:c r="B19" s="11" t="str">
        <x:v>Geocerca sin conformidad de Legal o Seguridad impide su uso y requiere rediseño del check-in.</x:v>
      </x:c>
      <x:c r="C19" s="11" t="str">
        <x:v>2.5,4.2</x:v>
      </x:c>
      <x:c r="D19" s="26" t="n">
        <x:v>3</x:v>
      </x:c>
      <x:c r="E19" s="26" t="n">
        <x:v>4</x:v>
      </x:c>
      <x:c r="F19" s="11" t="n">
        <x:f>D19*E19</x:f>
        <x:v>12</x:v>
      </x:c>
      <x:c r="G19" s="11" t="str">
        <x:f>IF(F19&gt;=15,"Alta",IF(F19&gt;=6,"Media","Baja"))</x:f>
        <x:v>Media</x:v>
      </x:c>
      <x:c r="H19" s="11" t="str">
        <x:v>Seguridad / RR.HH.</x:v>
      </x:c>
      <x:c r="I19" s="11" t="str">
        <x:v>Evitar</x:v>
      </x:c>
      <x:c r="J19" s="26" t="n">
        <x:v>1</x:v>
      </x:c>
      <x:c r="K19" s="26" t="n">
        <x:v>4</x:v>
      </x:c>
      <x:c r="L19" s="11" t="n">
        <x:f>J19*K19</x:f>
        <x:v>4</x:v>
      </x:c>
      <x:c r="M19" s="27" t="n">
        <x:f>SUMIF(Contingencia!$A$6:$A$26,A19,Contingencia!$E$6:$E$26)</x:f>
        <x:v>0</x:v>
      </x:c>
      <x:c r="N19" s="26" t="str">
        <x:v>2026-11</x:v>
      </x:c>
      <x:c r="O19" s="11" t="str">
        <x:v>Impedir activación de geocerca hasta aprobación formal; usar QR ya previsto en entorno de prueba.</x:v>
      </x:c>
      <x:c r="P19" s="11" t="str">
        <x:v>Si se rechaza geocerca: tramitar decisión de alcance y comunicación; no remover requisito unilateralmente ni recolectar ubicación.</x:v>
      </x:c>
      <x:c r="Q19" s="11" t="str">
        <x:v>Antes de piloto y cada cambio de tratamiento de datos; acta de aprobación.</x:v>
      </x:c>
      <x:c r="R19" s="2"/>
      <x:c r="S19" s="2"/>
      <x:c r="T19" s="2"/>
    </x:row>
    <x:row r="20" ht="90" customHeight="1">
      <x:c r="A20" s="11" t="str">
        <x:v>RI-15</x:v>
      </x:c>
      <x:c r="B20" s="11" t="str">
        <x:v>Actualización de WorkHub o API del bot genera regresiones y repetición de pruebas cerca del go-live.</x:v>
      </x:c>
      <x:c r="C20" s="11" t="str">
        <x:v>2.x,3.x,5.4</x:v>
      </x:c>
      <x:c r="D20" s="26" t="n">
        <x:v>2</x:v>
      </x:c>
      <x:c r="E20" s="26" t="n">
        <x:v>4</x:v>
      </x:c>
      <x:c r="F20" s="11" t="n">
        <x:f>D20*E20</x:f>
        <x:v>8</x:v>
      </x:c>
      <x:c r="G20" s="11" t="str">
        <x:f>IF(F20&gt;=15,"Alta",IF(F20&gt;=6,"Media","Baja"))</x:f>
        <x:v>Media</x:v>
      </x:c>
      <x:c r="H20" s="11" t="str">
        <x:v>PO</x:v>
      </x:c>
      <x:c r="I20" s="11" t="str">
        <x:v>Mitigar</x:v>
      </x:c>
      <x:c r="J20" s="26" t="n">
        <x:v>1</x:v>
      </x:c>
      <x:c r="K20" s="26" t="n">
        <x:v>4</x:v>
      </x:c>
      <x:c r="L20" s="11" t="n">
        <x:f>J20*K20</x:f>
        <x:v>4</x:v>
      </x:c>
      <x:c r="M20" s="27" t="n">
        <x:f>SUMIF(Contingencia!$A$6:$A$26,A20,Contingencia!$E$6:$E$26)</x:f>
        <x:v>1000</x:v>
      </x:c>
      <x:c r="N20" s="26" t="str">
        <x:v>2027-03</x:v>
      </x:c>
      <x:c r="O20" s="11" t="str">
        <x:v>Fijar versión soportada, congelar cambios y mantener regresión automatizada.</x:v>
      </x:c>
      <x:c r="P20" s="11" t="str">
        <x:v>Aviso de versión incompatible: analizar en sandbox y postergar actualización; entorno de pruebas extendido si no es posible.</x:v>
      </x:c>
      <x:c r="Q20" s="11" t="str">
        <x:v>Semanal; avisos fabricante y resultados de regresión.</x:v>
      </x:c>
      <x:c r="R20" s="2"/>
      <x:c r="S20" s="2"/>
      <x:c r="T20" s="2"/>
    </x:row>
    <x:row r="21" ht="90" customHeight="1">
      <x:c r="A21" s="11" t="str">
        <x:v>RI-16</x:v>
      </x:c>
      <x:c r="B21" s="11" t="str">
        <x:v>Demora de cotizaciones o firma K-5/K-7 impide sandbox y pentest a tiempo.</x:v>
      </x:c>
      <x:c r="C21" s="11" t="str">
        <x:v>3.2-3.4,4.4</x:v>
      </x:c>
      <x:c r="D21" s="26" t="n">
        <x:v>3</x:v>
      </x:c>
      <x:c r="E21" s="26" t="n">
        <x:v>3</x:v>
      </x:c>
      <x:c r="F21" s="11" t="n">
        <x:f>D21*E21</x:f>
        <x:v>9</x:v>
      </x:c>
      <x:c r="G21" s="11" t="str">
        <x:f>IF(F21&gt;=15,"Alta",IF(F21&gt;=6,"Media","Baja"))</x:f>
        <x:v>Media</x:v>
      </x:c>
      <x:c r="H21" s="11" t="str">
        <x:v>PM</x:v>
      </x:c>
      <x:c r="I21" s="11" t="str">
        <x:v>Mitigar</x:v>
      </x:c>
      <x:c r="J21" s="26" t="n">
        <x:v>2</x:v>
      </x:c>
      <x:c r="K21" s="26" t="n">
        <x:v>3</x:v>
      </x:c>
      <x:c r="L21" s="11" t="n">
        <x:f>J21*K21</x:f>
        <x:v>6</x:v>
      </x:c>
      <x:c r="M21" s="27" t="n">
        <x:f>SUMIF(Contingencia!$A$6:$A$26,A21,Contingencia!$E$6:$E$26)</x:f>
        <x:v>500</x:v>
      </x:c>
      <x:c r="N21" s="26" t="str">
        <x:v>2026-11</x:v>
      </x:c>
      <x:c r="O21" s="11" t="str">
        <x:v>Preparar alcance y aprobaciones antes de fechas N3: sandbox 23/10, pentest 06/11.</x:v>
      </x:c>
      <x:c r="P21" s="11" t="str">
        <x:v>Si no se adjudica a fecha objetivo: escalar a Sponsor y activar proveedor alternativo aprobado; solo costo administrativo adicional de VCA.</x:v>
      </x:c>
      <x:c r="Q21" s="11" t="str">
        <x:v>Dos veces por semana hasta adjudicar; orden y fecha comprometida.</x:v>
      </x:c>
      <x:c r="R21" s="2"/>
      <x:c r="S21" s="2"/>
      <x:c r="T21" s="2"/>
    </x:row>
    <x:row r="22" ht="90" customHeight="1">
      <x:c r="A22" s="11" t="str">
        <x:v>RI-17</x:v>
      </x:c>
      <x:c r="B22" s="11" t="str">
        <x:v>Defectos y dudas al corte simultáneo superan mesa de ayuda y degradan disponibilidad &lt;99,5 %.</x:v>
      </x:c>
      <x:c r="C22" s="11" t="str">
        <x:v>4.5,5.4</x:v>
      </x:c>
      <x:c r="D22" s="26" t="n">
        <x:v>3</x:v>
      </x:c>
      <x:c r="E22" s="26" t="n">
        <x:v>5</x:v>
      </x:c>
      <x:c r="F22" s="11" t="n">
        <x:f>D22*E22</x:f>
        <x:v>15</x:v>
      </x:c>
      <x:c r="G22" s="11" t="str">
        <x:f>IF(F22&gt;=15,"Alta",IF(F22&gt;=6,"Media","Baja"))</x:f>
        <x:v>Alta</x:v>
      </x:c>
      <x:c r="H22" s="11" t="str">
        <x:v>DevOps / Tecnología VCA</x:v>
      </x:c>
      <x:c r="I22" s="11" t="str">
        <x:v>Aceptar activa</x:v>
      </x:c>
      <x:c r="J22" s="26" t="n">
        <x:v>2</x:v>
      </x:c>
      <x:c r="K22" s="26" t="n">
        <x:v>4</x:v>
      </x:c>
      <x:c r="L22" s="11" t="n">
        <x:f>J22*K22</x:f>
        <x:v>8</x:v>
      </x:c>
      <x:c r="M22" s="27" t="n">
        <x:f>SUMIF(Contingencia!$A$6:$A$26,A22,Contingencia!$E$6:$E$26)</x:f>
        <x:v>3000</x:v>
      </x:c>
      <x:c r="N22" s="26" t="str">
        <x:v>2027-04</x:v>
      </x:c>
      <x:c r="O22" s="11" t="str">
        <x:v>Reservar guardia VCA adicional y ensayar reversión con runbook. K-2 mantiene corrección de defectos.</x:v>
      </x:c>
      <x:c r="P22" s="11" t="str">
        <x:v>Si incidente crítico o cola &gt;20 tickets por 2 h: activar guardia, priorizar incidente y ejecutar rollback si integridad está comprometida.</x:v>
      </x:c>
      <x:c r="Q22" s="11" t="str">
        <x:v>Diario primera semana y weekly de estabilización; disponibilidad y cola.</x:v>
      </x:c>
      <x:c r="R22" s="2"/>
      <x:c r="S22" s="2"/>
      <x:c r="T22" s="2"/>
    </x:row>
    <x:row r="23" ht="90" customHeight="1">
      <x:c r="A23" s="11" t="str">
        <x:v>RI-18</x:v>
      </x:c>
      <x:c r="B23" s="11" t="str">
        <x:v>Error de pipeline, secreto o configuración despliega una versión no aprobada y causa caída o acceso indebido.</x:v>
      </x:c>
      <x:c r="C23" s="11" t="str">
        <x:v>5.1,5.4</x:v>
      </x:c>
      <x:c r="D23" s="26" t="n">
        <x:v>3</x:v>
      </x:c>
      <x:c r="E23" s="26" t="n">
        <x:v>5</x:v>
      </x:c>
      <x:c r="F23" s="11" t="n">
        <x:f>D23*E23</x:f>
        <x:v>15</x:v>
      </x:c>
      <x:c r="G23" s="11" t="str">
        <x:f>IF(F23&gt;=15,"Alta",IF(F23&gt;=6,"Media","Baja"))</x:f>
        <x:v>Alta</x:v>
      </x:c>
      <x:c r="H23" s="11" t="str">
        <x:v>DevOps</x:v>
      </x:c>
      <x:c r="I23" s="11" t="str">
        <x:v>Mitigar</x:v>
      </x:c>
      <x:c r="J23" s="26" t="n">
        <x:v>1</x:v>
      </x:c>
      <x:c r="K23" s="26" t="n">
        <x:v>5</x:v>
      </x:c>
      <x:c r="L23" s="11" t="n">
        <x:f>J23*K23</x:f>
        <x:v>5</x:v>
      </x:c>
      <x:c r="M23" s="27" t="n">
        <x:f>SUMIF(Contingencia!$A$6:$A$26,A23,Contingencia!$E$6:$E$26)</x:f>
        <x:v>1000</x:v>
      </x:c>
      <x:c r="N23" s="26" t="str">
        <x:v>2027-03</x:v>
      </x:c>
      <x:c r="O23" s="11" t="str">
        <x:v>Separar ambientes y credenciales; aprobación de dos personas, artefacto firmado y ensayo de rollback.</x:v>
      </x:c>
      <x:c r="P23" s="11" t="str">
        <x:v>Build sin evidencia o diferencia de configuración: detener pase; recuperar secretos/tenant con soporte externo si excede capacidad VCA.</x:v>
      </x:c>
      <x:c r="Q23" s="11" t="str">
        <x:v>Cada despliegue; auditoría de pipeline y prueba de restauración.</x:v>
      </x:c>
      <x:c r="R23" s="2"/>
      <x:c r="S23" s="2"/>
      <x:c r="T23" s="2"/>
    </x:row>
    <x:row r="24" ht="90" customHeight="1">
      <x:c r="A24" s="11" t="str">
        <x:v>RI-19</x:v>
      </x:c>
      <x:c r="B24" s="11" t="str">
        <x:v>Dependencia vulnerable o sin soporte aparece en análisis de componentes y obliga a detener liberación.</x:v>
      </x:c>
      <x:c r="C24" s="11" t="str">
        <x:v>2.8,2.9,3.4</x:v>
      </x:c>
      <x:c r="D24" s="26" t="n">
        <x:v>3</x:v>
      </x:c>
      <x:c r="E24" s="26" t="n">
        <x:v>4</x:v>
      </x:c>
      <x:c r="F24" s="11" t="n">
        <x:f>D24*E24</x:f>
        <x:v>12</x:v>
      </x:c>
      <x:c r="G24" s="11" t="str">
        <x:f>IF(F24&gt;=15,"Alta",IF(F24&gt;=6,"Media","Baja"))</x:f>
        <x:v>Media</x:v>
      </x:c>
      <x:c r="H24" s="11" t="str">
        <x:v>Integraciones / Seguridad</x:v>
      </x:c>
      <x:c r="I24" s="11" t="str">
        <x:v>Mitigar</x:v>
      </x:c>
      <x:c r="J24" s="26" t="n">
        <x:v>2</x:v>
      </x:c>
      <x:c r="K24" s="26" t="n">
        <x:v>4</x:v>
      </x:c>
      <x:c r="L24" s="11" t="n">
        <x:f>J24*K24</x:f>
        <x:v>8</x:v>
      </x:c>
      <x:c r="M24" s="27" t="n">
        <x:f>SUMIF(Contingencia!$A$6:$A$26,A24,Contingencia!$E$6:$E$26)</x:f>
        <x:v>1000</x:v>
      </x:c>
      <x:c r="N24" s="26" t="str">
        <x:v>2026-12</x:v>
      </x:c>
      <x:c r="O24" s="11" t="str">
        <x:v>Inventariar componentes y versiones, analizar dependencias en CI y revisar avisos semanales.</x:v>
      </x:c>
      <x:c r="P24" s="11" t="str">
        <x:v>Hallazgo alto/crítico: bloquear release; proveedor corrige bajo K-2; financiar solo evaluación independiente de alternativa de tercero si se requiere.</x:v>
      </x:c>
      <x:c r="Q24" s="11" t="str">
        <x:v>Por build y semanal; inventario y reporte de composición.</x:v>
      </x:c>
      <x:c r="R24" s="2"/>
      <x:c r="S24" s="2"/>
      <x:c r="T24" s="2"/>
    </x:row>
    <x:row r="25" ht="24" customHeight="1">
      <x:c r="A25" s="14" t="str">
        <x:v>Total reserva</x:v>
      </x:c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22" t="n">
        <x:f>SUM(M6:M24)</x:f>
        <x:v>22000</x:v>
      </x:c>
      <x:c r="N25" s="14"/>
      <x:c r="O25" s="14"/>
      <x:c r="P25" s="14"/>
      <x:c r="Q25" s="14"/>
      <x:c r="R25" s="2"/>
      <x:c r="S25" s="2"/>
      <x:c r="T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</x:row>
    <x:row r="100" ht="24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</x:row>
    <x:row r="101" ht="24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</x:row>
    <x:row r="107" ht="24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</x:row>
    <x:row r="111" ht="24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</x:row>
    <x:row r="112" ht="24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</x:row>
    <x:row r="113" ht="24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</x:row>
    <x:row r="116" ht="24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</x:row>
    <x:row r="117" ht="24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</x:row>
    <x:row r="118" ht="24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</x:row>
    <x:row r="120" ht="24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</x:row>
    <x:row r="121" ht="24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</x:row>
    <x:row r="122" ht="24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</x:row>
    <x:row r="123" ht="24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</x:row>
    <x:row r="124" ht="24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</x:row>
    <x:row r="125" ht="24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</x:row>
    <x:row r="126" ht="24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</x:row>
    <x:row r="127" ht="24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</x:row>
    <x:row r="128" ht="24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</x:row>
    <x:row r="129" ht="24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</x:row>
    <x:row r="130" ht="24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</x:row>
  </x:sheetData>
  <x:conditionalFormatting sqref="F6:F24">
    <x:cfRule type="cellIs" dxfId="0" priority="1" operator="greaterThanOrEqual">
      <x:formula>15</x:formula>
    </x:cfRule>
  </x:conditionalFormatting>
  <x:dataValidations count="2">
    <x:dataValidation type="whole" operator="between" sqref="D6:E24">
      <x:formula1>1</x:formula1>
      <x:formula2>5</x:formula2>
    </x:dataValidation>
    <x:dataValidation type="whole" operator="between" sqref="J6:K24">
      <x:formula1>1</x:formula1>
      <x:formula2>5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24" hidden="0" customWidth="1"/>
    <x:col min="5" max="5" width="30" hidden="0" customWidth="1"/>
    <x:col min="6" max="6" width="33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Matriz de riesgos inherentes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Eje vertical P, horizontal I. Baja1-5; media6-12; alta15-25. Riesgo de seguridad/hito obligatorio escala aunque el producto sea medio.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2" customHeight="1">
      <x:c r="A5" s="6" t="str">
        <x:v>P / I</x:v>
      </x:c>
      <x:c r="B5" s="6" t="n">
        <x:v>1</x:v>
      </x:c>
      <x:c r="C5" s="6" t="n">
        <x:v>2</x:v>
      </x:c>
      <x:c r="D5" s="6" t="n">
        <x:v>3</x:v>
      </x:c>
      <x:c r="E5" s="6" t="n">
        <x:v>4</x:v>
      </x:c>
      <x:c r="F5" s="6" t="n">
        <x:v>5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65" customHeight="1">
      <x:c r="A6" s="2" t="n">
        <x:v>5</x:v>
      </x:c>
      <x:c r="B6" s="31" t="str">
        <x:f>IF(AND(Riesgos!$D$6=$A6,Riesgos!$E$6=B$5),Riesgos!$A$6&amp;" ","")&amp;IF(AND(Riesgos!$D$7=$A6,Riesgos!$E$7=B$5),Riesgos!$A$7&amp;" ","")&amp;IF(AND(Riesgos!$D$8=$A6,Riesgos!$E$8=B$5),Riesgos!$A$8&amp;" ","")&amp;IF(AND(Riesgos!$D$9=$A6,Riesgos!$E$9=B$5),Riesgos!$A$9&amp;" ","")&amp;IF(AND(Riesgos!$D$10=$A6,Riesgos!$E$10=B$5),Riesgos!$A$10&amp;" ","")&amp;IF(AND(Riesgos!$D$11=$A6,Riesgos!$E$11=B$5),Riesgos!$A$11&amp;" ","")&amp;IF(AND(Riesgos!$D$12=$A6,Riesgos!$E$12=B$5),Riesgos!$A$12&amp;" ","")&amp;IF(AND(Riesgos!$D$13=$A6,Riesgos!$E$13=B$5),Riesgos!$A$13&amp;" ","")&amp;IF(AND(Riesgos!$D$14=$A6,Riesgos!$E$14=B$5),Riesgos!$A$14&amp;" ","")&amp;IF(AND(Riesgos!$D$15=$A6,Riesgos!$E$15=B$5),Riesgos!$A$15&amp;" ","")&amp;IF(AND(Riesgos!$D$16=$A6,Riesgos!$E$16=B$5),Riesgos!$A$16&amp;" ","")&amp;IF(AND(Riesgos!$D$17=$A6,Riesgos!$E$17=B$5),Riesgos!$A$17&amp;" ","")&amp;IF(AND(Riesgos!$D$18=$A6,Riesgos!$E$18=B$5),Riesgos!$A$18&amp;" ","")&amp;IF(AND(Riesgos!$D$19=$A6,Riesgos!$E$19=B$5),Riesgos!$A$19&amp;" ","")&amp;IF(AND(Riesgos!$D$20=$A6,Riesgos!$E$20=B$5),Riesgos!$A$20&amp;" ","")&amp;IF(AND(Riesgos!$D$21=$A6,Riesgos!$E$21=B$5),Riesgos!$A$21&amp;" ","")&amp;IF(AND(Riesgos!$D$22=$A6,Riesgos!$E$22=B$5),Riesgos!$A$22&amp;" ","")&amp;IF(AND(Riesgos!$D$23=$A6,Riesgos!$E$23=B$5),Riesgos!$A$23&amp;" ","")&amp;IF(AND(Riesgos!$D$24=$A6,Riesgos!$E$24=B$5),Riesgos!$A$24&amp;" ","")</x:f>
      </x:c>
      <x:c r="C6" s="32" t="str">
        <x:f>IF(AND(Riesgos!$D$6=$A6,Riesgos!$E$6=C$5),Riesgos!$A$6&amp;" ","")&amp;IF(AND(Riesgos!$D$7=$A6,Riesgos!$E$7=C$5),Riesgos!$A$7&amp;" ","")&amp;IF(AND(Riesgos!$D$8=$A6,Riesgos!$E$8=C$5),Riesgos!$A$8&amp;" ","")&amp;IF(AND(Riesgos!$D$9=$A6,Riesgos!$E$9=C$5),Riesgos!$A$9&amp;" ","")&amp;IF(AND(Riesgos!$D$10=$A6,Riesgos!$E$10=C$5),Riesgos!$A$10&amp;" ","")&amp;IF(AND(Riesgos!$D$11=$A6,Riesgos!$E$11=C$5),Riesgos!$A$11&amp;" ","")&amp;IF(AND(Riesgos!$D$12=$A6,Riesgos!$E$12=C$5),Riesgos!$A$12&amp;" ","")&amp;IF(AND(Riesgos!$D$13=$A6,Riesgos!$E$13=C$5),Riesgos!$A$13&amp;" ","")&amp;IF(AND(Riesgos!$D$14=$A6,Riesgos!$E$14=C$5),Riesgos!$A$14&amp;" ","")&amp;IF(AND(Riesgos!$D$15=$A6,Riesgos!$E$15=C$5),Riesgos!$A$15&amp;" ","")&amp;IF(AND(Riesgos!$D$16=$A6,Riesgos!$E$16=C$5),Riesgos!$A$16&amp;" ","")&amp;IF(AND(Riesgos!$D$17=$A6,Riesgos!$E$17=C$5),Riesgos!$A$17&amp;" ","")&amp;IF(AND(Riesgos!$D$18=$A6,Riesgos!$E$18=C$5),Riesgos!$A$18&amp;" ","")&amp;IF(AND(Riesgos!$D$19=$A6,Riesgos!$E$19=C$5),Riesgos!$A$19&amp;" ","")&amp;IF(AND(Riesgos!$D$20=$A6,Riesgos!$E$20=C$5),Riesgos!$A$20&amp;" ","")&amp;IF(AND(Riesgos!$D$21=$A6,Riesgos!$E$21=C$5),Riesgos!$A$21&amp;" ","")&amp;IF(AND(Riesgos!$D$22=$A6,Riesgos!$E$22=C$5),Riesgos!$A$22&amp;" ","")&amp;IF(AND(Riesgos!$D$23=$A6,Riesgos!$E$23=C$5),Riesgos!$A$23&amp;" ","")&amp;IF(AND(Riesgos!$D$24=$A6,Riesgos!$E$24=C$5),Riesgos!$A$24&amp;" ","")</x:f>
      </x:c>
      <x:c r="D6" s="33" t="str">
        <x:f>IF(AND(Riesgos!$D$6=$A6,Riesgos!$E$6=D$5),Riesgos!$A$6&amp;" ","")&amp;IF(AND(Riesgos!$D$7=$A6,Riesgos!$E$7=D$5),Riesgos!$A$7&amp;" ","")&amp;IF(AND(Riesgos!$D$8=$A6,Riesgos!$E$8=D$5),Riesgos!$A$8&amp;" ","")&amp;IF(AND(Riesgos!$D$9=$A6,Riesgos!$E$9=D$5),Riesgos!$A$9&amp;" ","")&amp;IF(AND(Riesgos!$D$10=$A6,Riesgos!$E$10=D$5),Riesgos!$A$10&amp;" ","")&amp;IF(AND(Riesgos!$D$11=$A6,Riesgos!$E$11=D$5),Riesgos!$A$11&amp;" ","")&amp;IF(AND(Riesgos!$D$12=$A6,Riesgos!$E$12=D$5),Riesgos!$A$12&amp;" ","")&amp;IF(AND(Riesgos!$D$13=$A6,Riesgos!$E$13=D$5),Riesgos!$A$13&amp;" ","")&amp;IF(AND(Riesgos!$D$14=$A6,Riesgos!$E$14=D$5),Riesgos!$A$14&amp;" ","")&amp;IF(AND(Riesgos!$D$15=$A6,Riesgos!$E$15=D$5),Riesgos!$A$15&amp;" ","")&amp;IF(AND(Riesgos!$D$16=$A6,Riesgos!$E$16=D$5),Riesgos!$A$16&amp;" ","")&amp;IF(AND(Riesgos!$D$17=$A6,Riesgos!$E$17=D$5),Riesgos!$A$17&amp;" ","")&amp;IF(AND(Riesgos!$D$18=$A6,Riesgos!$E$18=D$5),Riesgos!$A$18&amp;" ","")&amp;IF(AND(Riesgos!$D$19=$A6,Riesgos!$E$19=D$5),Riesgos!$A$19&amp;" ","")&amp;IF(AND(Riesgos!$D$20=$A6,Riesgos!$E$20=D$5),Riesgos!$A$20&amp;" ","")&amp;IF(AND(Riesgos!$D$21=$A6,Riesgos!$E$21=D$5),Riesgos!$A$21&amp;" ","")&amp;IF(AND(Riesgos!$D$22=$A6,Riesgos!$E$22=D$5),Riesgos!$A$22&amp;" ","")&amp;IF(AND(Riesgos!$D$23=$A6,Riesgos!$E$23=D$5),Riesgos!$A$23&amp;" ","")&amp;IF(AND(Riesgos!$D$24=$A6,Riesgos!$E$24=D$5),Riesgos!$A$24&amp;" ","")</x:f>
      </x:c>
      <x:c r="E6" s="33" t="str">
        <x:f>IF(AND(Riesgos!$D$6=$A6,Riesgos!$E$6=E$5),Riesgos!$A$6&amp;" ","")&amp;IF(AND(Riesgos!$D$7=$A6,Riesgos!$E$7=E$5),Riesgos!$A$7&amp;" ","")&amp;IF(AND(Riesgos!$D$8=$A6,Riesgos!$E$8=E$5),Riesgos!$A$8&amp;" ","")&amp;IF(AND(Riesgos!$D$9=$A6,Riesgos!$E$9=E$5),Riesgos!$A$9&amp;" ","")&amp;IF(AND(Riesgos!$D$10=$A6,Riesgos!$E$10=E$5),Riesgos!$A$10&amp;" ","")&amp;IF(AND(Riesgos!$D$11=$A6,Riesgos!$E$11=E$5),Riesgos!$A$11&amp;" ","")&amp;IF(AND(Riesgos!$D$12=$A6,Riesgos!$E$12=E$5),Riesgos!$A$12&amp;" ","")&amp;IF(AND(Riesgos!$D$13=$A6,Riesgos!$E$13=E$5),Riesgos!$A$13&amp;" ","")&amp;IF(AND(Riesgos!$D$14=$A6,Riesgos!$E$14=E$5),Riesgos!$A$14&amp;" ","")&amp;IF(AND(Riesgos!$D$15=$A6,Riesgos!$E$15=E$5),Riesgos!$A$15&amp;" ","")&amp;IF(AND(Riesgos!$D$16=$A6,Riesgos!$E$16=E$5),Riesgos!$A$16&amp;" ","")&amp;IF(AND(Riesgos!$D$17=$A6,Riesgos!$E$17=E$5),Riesgos!$A$17&amp;" ","")&amp;IF(AND(Riesgos!$D$18=$A6,Riesgos!$E$18=E$5),Riesgos!$A$18&amp;" ","")&amp;IF(AND(Riesgos!$D$19=$A6,Riesgos!$E$19=E$5),Riesgos!$A$19&amp;" ","")&amp;IF(AND(Riesgos!$D$20=$A6,Riesgos!$E$20=E$5),Riesgos!$A$20&amp;" ","")&amp;IF(AND(Riesgos!$D$21=$A6,Riesgos!$E$21=E$5),Riesgos!$A$21&amp;" ","")&amp;IF(AND(Riesgos!$D$22=$A6,Riesgos!$E$22=E$5),Riesgos!$A$22&amp;" ","")&amp;IF(AND(Riesgos!$D$23=$A6,Riesgos!$E$23=E$5),Riesgos!$A$23&amp;" ","")&amp;IF(AND(Riesgos!$D$24=$A6,Riesgos!$E$24=E$5),Riesgos!$A$24&amp;" ","")</x:f>
      </x:c>
      <x:c r="F6" s="33" t="str">
        <x:f>IF(AND(Riesgos!$D$6=$A6,Riesgos!$E$6=F$5),Riesgos!$A$6&amp;" ","")&amp;IF(AND(Riesgos!$D$7=$A6,Riesgos!$E$7=F$5),Riesgos!$A$7&amp;" ","")&amp;IF(AND(Riesgos!$D$8=$A6,Riesgos!$E$8=F$5),Riesgos!$A$8&amp;" ","")&amp;IF(AND(Riesgos!$D$9=$A6,Riesgos!$E$9=F$5),Riesgos!$A$9&amp;" ","")&amp;IF(AND(Riesgos!$D$10=$A6,Riesgos!$E$10=F$5),Riesgos!$A$10&amp;" ","")&amp;IF(AND(Riesgos!$D$11=$A6,Riesgos!$E$11=F$5),Riesgos!$A$11&amp;" ","")&amp;IF(AND(Riesgos!$D$12=$A6,Riesgos!$E$12=F$5),Riesgos!$A$12&amp;" ","")&amp;IF(AND(Riesgos!$D$13=$A6,Riesgos!$E$13=F$5),Riesgos!$A$13&amp;" ","")&amp;IF(AND(Riesgos!$D$14=$A6,Riesgos!$E$14=F$5),Riesgos!$A$14&amp;" ","")&amp;IF(AND(Riesgos!$D$15=$A6,Riesgos!$E$15=F$5),Riesgos!$A$15&amp;" ","")&amp;IF(AND(Riesgos!$D$16=$A6,Riesgos!$E$16=F$5),Riesgos!$A$16&amp;" ","")&amp;IF(AND(Riesgos!$D$17=$A6,Riesgos!$E$17=F$5),Riesgos!$A$17&amp;" ","")&amp;IF(AND(Riesgos!$D$18=$A6,Riesgos!$E$18=F$5),Riesgos!$A$18&amp;" ","")&amp;IF(AND(Riesgos!$D$19=$A6,Riesgos!$E$19=F$5),Riesgos!$A$19&amp;" ","")&amp;IF(AND(Riesgos!$D$20=$A6,Riesgos!$E$20=F$5),Riesgos!$A$20&amp;" ","")&amp;IF(AND(Riesgos!$D$21=$A6,Riesgos!$E$21=F$5),Riesgos!$A$21&amp;" ","")&amp;IF(AND(Riesgos!$D$22=$A6,Riesgos!$E$22=F$5),Riesgos!$A$22&amp;" ","")&amp;IF(AND(Riesgos!$D$23=$A6,Riesgos!$E$23=F$5),Riesgos!$A$23&amp;" ","")&amp;IF(AND(Riesgos!$D$24=$A6,Riesgos!$E$24=F$5),Riesgos!$A$24&amp;" ","")</x:f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65" customHeight="1">
      <x:c r="A7" s="2" t="n">
        <x:v>4</x:v>
      </x:c>
      <x:c r="B7" s="31" t="str">
        <x:f>IF(AND(Riesgos!$D$6=$A7,Riesgos!$E$6=B$5),Riesgos!$A$6&amp;" ","")&amp;IF(AND(Riesgos!$D$7=$A7,Riesgos!$E$7=B$5),Riesgos!$A$7&amp;" ","")&amp;IF(AND(Riesgos!$D$8=$A7,Riesgos!$E$8=B$5),Riesgos!$A$8&amp;" ","")&amp;IF(AND(Riesgos!$D$9=$A7,Riesgos!$E$9=B$5),Riesgos!$A$9&amp;" ","")&amp;IF(AND(Riesgos!$D$10=$A7,Riesgos!$E$10=B$5),Riesgos!$A$10&amp;" ","")&amp;IF(AND(Riesgos!$D$11=$A7,Riesgos!$E$11=B$5),Riesgos!$A$11&amp;" ","")&amp;IF(AND(Riesgos!$D$12=$A7,Riesgos!$E$12=B$5),Riesgos!$A$12&amp;" ","")&amp;IF(AND(Riesgos!$D$13=$A7,Riesgos!$E$13=B$5),Riesgos!$A$13&amp;" ","")&amp;IF(AND(Riesgos!$D$14=$A7,Riesgos!$E$14=B$5),Riesgos!$A$14&amp;" ","")&amp;IF(AND(Riesgos!$D$15=$A7,Riesgos!$E$15=B$5),Riesgos!$A$15&amp;" ","")&amp;IF(AND(Riesgos!$D$16=$A7,Riesgos!$E$16=B$5),Riesgos!$A$16&amp;" ","")&amp;IF(AND(Riesgos!$D$17=$A7,Riesgos!$E$17=B$5),Riesgos!$A$17&amp;" ","")&amp;IF(AND(Riesgos!$D$18=$A7,Riesgos!$E$18=B$5),Riesgos!$A$18&amp;" ","")&amp;IF(AND(Riesgos!$D$19=$A7,Riesgos!$E$19=B$5),Riesgos!$A$19&amp;" ","")&amp;IF(AND(Riesgos!$D$20=$A7,Riesgos!$E$20=B$5),Riesgos!$A$20&amp;" ","")&amp;IF(AND(Riesgos!$D$21=$A7,Riesgos!$E$21=B$5),Riesgos!$A$21&amp;" ","")&amp;IF(AND(Riesgos!$D$22=$A7,Riesgos!$E$22=B$5),Riesgos!$A$22&amp;" ","")&amp;IF(AND(Riesgos!$D$23=$A7,Riesgos!$E$23=B$5),Riesgos!$A$23&amp;" ","")&amp;IF(AND(Riesgos!$D$24=$A7,Riesgos!$E$24=B$5),Riesgos!$A$24&amp;" ","")</x:f>
      </x:c>
      <x:c r="C7" s="32" t="str">
        <x:f>IF(AND(Riesgos!$D$6=$A7,Riesgos!$E$6=C$5),Riesgos!$A$6&amp;" ","")&amp;IF(AND(Riesgos!$D$7=$A7,Riesgos!$E$7=C$5),Riesgos!$A$7&amp;" ","")&amp;IF(AND(Riesgos!$D$8=$A7,Riesgos!$E$8=C$5),Riesgos!$A$8&amp;" ","")&amp;IF(AND(Riesgos!$D$9=$A7,Riesgos!$E$9=C$5),Riesgos!$A$9&amp;" ","")&amp;IF(AND(Riesgos!$D$10=$A7,Riesgos!$E$10=C$5),Riesgos!$A$10&amp;" ","")&amp;IF(AND(Riesgos!$D$11=$A7,Riesgos!$E$11=C$5),Riesgos!$A$11&amp;" ","")&amp;IF(AND(Riesgos!$D$12=$A7,Riesgos!$E$12=C$5),Riesgos!$A$12&amp;" ","")&amp;IF(AND(Riesgos!$D$13=$A7,Riesgos!$E$13=C$5),Riesgos!$A$13&amp;" ","")&amp;IF(AND(Riesgos!$D$14=$A7,Riesgos!$E$14=C$5),Riesgos!$A$14&amp;" ","")&amp;IF(AND(Riesgos!$D$15=$A7,Riesgos!$E$15=C$5),Riesgos!$A$15&amp;" ","")&amp;IF(AND(Riesgos!$D$16=$A7,Riesgos!$E$16=C$5),Riesgos!$A$16&amp;" ","")&amp;IF(AND(Riesgos!$D$17=$A7,Riesgos!$E$17=C$5),Riesgos!$A$17&amp;" ","")&amp;IF(AND(Riesgos!$D$18=$A7,Riesgos!$E$18=C$5),Riesgos!$A$18&amp;" ","")&amp;IF(AND(Riesgos!$D$19=$A7,Riesgos!$E$19=C$5),Riesgos!$A$19&amp;" ","")&amp;IF(AND(Riesgos!$D$20=$A7,Riesgos!$E$20=C$5),Riesgos!$A$20&amp;" ","")&amp;IF(AND(Riesgos!$D$21=$A7,Riesgos!$E$21=C$5),Riesgos!$A$21&amp;" ","")&amp;IF(AND(Riesgos!$D$22=$A7,Riesgos!$E$22=C$5),Riesgos!$A$22&amp;" ","")&amp;IF(AND(Riesgos!$D$23=$A7,Riesgos!$E$23=C$5),Riesgos!$A$23&amp;" ","")&amp;IF(AND(Riesgos!$D$24=$A7,Riesgos!$E$24=C$5),Riesgos!$A$24&amp;" ","")</x:f>
      </x:c>
      <x:c r="D7" s="32" t="str">
        <x:f>IF(AND(Riesgos!$D$6=$A7,Riesgos!$E$6=D$5),Riesgos!$A$6&amp;" ","")&amp;IF(AND(Riesgos!$D$7=$A7,Riesgos!$E$7=D$5),Riesgos!$A$7&amp;" ","")&amp;IF(AND(Riesgos!$D$8=$A7,Riesgos!$E$8=D$5),Riesgos!$A$8&amp;" ","")&amp;IF(AND(Riesgos!$D$9=$A7,Riesgos!$E$9=D$5),Riesgos!$A$9&amp;" ","")&amp;IF(AND(Riesgos!$D$10=$A7,Riesgos!$E$10=D$5),Riesgos!$A$10&amp;" ","")&amp;IF(AND(Riesgos!$D$11=$A7,Riesgos!$E$11=D$5),Riesgos!$A$11&amp;" ","")&amp;IF(AND(Riesgos!$D$12=$A7,Riesgos!$E$12=D$5),Riesgos!$A$12&amp;" ","")&amp;IF(AND(Riesgos!$D$13=$A7,Riesgos!$E$13=D$5),Riesgos!$A$13&amp;" ","")&amp;IF(AND(Riesgos!$D$14=$A7,Riesgos!$E$14=D$5),Riesgos!$A$14&amp;" ","")&amp;IF(AND(Riesgos!$D$15=$A7,Riesgos!$E$15=D$5),Riesgos!$A$15&amp;" ","")&amp;IF(AND(Riesgos!$D$16=$A7,Riesgos!$E$16=D$5),Riesgos!$A$16&amp;" ","")&amp;IF(AND(Riesgos!$D$17=$A7,Riesgos!$E$17=D$5),Riesgos!$A$17&amp;" ","")&amp;IF(AND(Riesgos!$D$18=$A7,Riesgos!$E$18=D$5),Riesgos!$A$18&amp;" ","")&amp;IF(AND(Riesgos!$D$19=$A7,Riesgos!$E$19=D$5),Riesgos!$A$19&amp;" ","")&amp;IF(AND(Riesgos!$D$20=$A7,Riesgos!$E$20=D$5),Riesgos!$A$20&amp;" ","")&amp;IF(AND(Riesgos!$D$21=$A7,Riesgos!$E$21=D$5),Riesgos!$A$21&amp;" ","")&amp;IF(AND(Riesgos!$D$22=$A7,Riesgos!$E$22=D$5),Riesgos!$A$22&amp;" ","")&amp;IF(AND(Riesgos!$D$23=$A7,Riesgos!$E$23=D$5),Riesgos!$A$23&amp;" ","")&amp;IF(AND(Riesgos!$D$24=$A7,Riesgos!$E$24=D$5),Riesgos!$A$24&amp;" ","")</x:f>
      </x:c>
      <x:c r="E7" s="33" t="str">
        <x:f>IF(AND(Riesgos!$D$6=$A7,Riesgos!$E$6=E$5),Riesgos!$A$6&amp;" ","")&amp;IF(AND(Riesgos!$D$7=$A7,Riesgos!$E$7=E$5),Riesgos!$A$7&amp;" ","")&amp;IF(AND(Riesgos!$D$8=$A7,Riesgos!$E$8=E$5),Riesgos!$A$8&amp;" ","")&amp;IF(AND(Riesgos!$D$9=$A7,Riesgos!$E$9=E$5),Riesgos!$A$9&amp;" ","")&amp;IF(AND(Riesgos!$D$10=$A7,Riesgos!$E$10=E$5),Riesgos!$A$10&amp;" ","")&amp;IF(AND(Riesgos!$D$11=$A7,Riesgos!$E$11=E$5),Riesgos!$A$11&amp;" ","")&amp;IF(AND(Riesgos!$D$12=$A7,Riesgos!$E$12=E$5),Riesgos!$A$12&amp;" ","")&amp;IF(AND(Riesgos!$D$13=$A7,Riesgos!$E$13=E$5),Riesgos!$A$13&amp;" ","")&amp;IF(AND(Riesgos!$D$14=$A7,Riesgos!$E$14=E$5),Riesgos!$A$14&amp;" ","")&amp;IF(AND(Riesgos!$D$15=$A7,Riesgos!$E$15=E$5),Riesgos!$A$15&amp;" ","")&amp;IF(AND(Riesgos!$D$16=$A7,Riesgos!$E$16=E$5),Riesgos!$A$16&amp;" ","")&amp;IF(AND(Riesgos!$D$17=$A7,Riesgos!$E$17=E$5),Riesgos!$A$17&amp;" ","")&amp;IF(AND(Riesgos!$D$18=$A7,Riesgos!$E$18=E$5),Riesgos!$A$18&amp;" ","")&amp;IF(AND(Riesgos!$D$19=$A7,Riesgos!$E$19=E$5),Riesgos!$A$19&amp;" ","")&amp;IF(AND(Riesgos!$D$20=$A7,Riesgos!$E$20=E$5),Riesgos!$A$20&amp;" ","")&amp;IF(AND(Riesgos!$D$21=$A7,Riesgos!$E$21=E$5),Riesgos!$A$21&amp;" ","")&amp;IF(AND(Riesgos!$D$22=$A7,Riesgos!$E$22=E$5),Riesgos!$A$22&amp;" ","")&amp;IF(AND(Riesgos!$D$23=$A7,Riesgos!$E$23=E$5),Riesgos!$A$23&amp;" ","")&amp;IF(AND(Riesgos!$D$24=$A7,Riesgos!$E$24=E$5),Riesgos!$A$24&amp;" ","")</x:f>
        <x:v>RI-3 RI-7 </x:v>
      </x:c>
      <x:c r="F7" s="33" t="str">
        <x:f>IF(AND(Riesgos!$D$6=$A7,Riesgos!$E$6=F$5),Riesgos!$A$6&amp;" ","")&amp;IF(AND(Riesgos!$D$7=$A7,Riesgos!$E$7=F$5),Riesgos!$A$7&amp;" ","")&amp;IF(AND(Riesgos!$D$8=$A7,Riesgos!$E$8=F$5),Riesgos!$A$8&amp;" ","")&amp;IF(AND(Riesgos!$D$9=$A7,Riesgos!$E$9=F$5),Riesgos!$A$9&amp;" ","")&amp;IF(AND(Riesgos!$D$10=$A7,Riesgos!$E$10=F$5),Riesgos!$A$10&amp;" ","")&amp;IF(AND(Riesgos!$D$11=$A7,Riesgos!$E$11=F$5),Riesgos!$A$11&amp;" ","")&amp;IF(AND(Riesgos!$D$12=$A7,Riesgos!$E$12=F$5),Riesgos!$A$12&amp;" ","")&amp;IF(AND(Riesgos!$D$13=$A7,Riesgos!$E$13=F$5),Riesgos!$A$13&amp;" ","")&amp;IF(AND(Riesgos!$D$14=$A7,Riesgos!$E$14=F$5),Riesgos!$A$14&amp;" ","")&amp;IF(AND(Riesgos!$D$15=$A7,Riesgos!$E$15=F$5),Riesgos!$A$15&amp;" ","")&amp;IF(AND(Riesgos!$D$16=$A7,Riesgos!$E$16=F$5),Riesgos!$A$16&amp;" ","")&amp;IF(AND(Riesgos!$D$17=$A7,Riesgos!$E$17=F$5),Riesgos!$A$17&amp;" ","")&amp;IF(AND(Riesgos!$D$18=$A7,Riesgos!$E$18=F$5),Riesgos!$A$18&amp;" ","")&amp;IF(AND(Riesgos!$D$19=$A7,Riesgos!$E$19=F$5),Riesgos!$A$19&amp;" ","")&amp;IF(AND(Riesgos!$D$20=$A7,Riesgos!$E$20=F$5),Riesgos!$A$20&amp;" ","")&amp;IF(AND(Riesgos!$D$21=$A7,Riesgos!$E$21=F$5),Riesgos!$A$21&amp;" ","")&amp;IF(AND(Riesgos!$D$22=$A7,Riesgos!$E$22=F$5),Riesgos!$A$22&amp;" ","")&amp;IF(AND(Riesgos!$D$23=$A7,Riesgos!$E$23=F$5),Riesgos!$A$23&amp;" ","")&amp;IF(AND(Riesgos!$D$24=$A7,Riesgos!$E$24=F$5),Riesgos!$A$24&amp;" ","")</x:f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65" customHeight="1">
      <x:c r="A8" s="2" t="n">
        <x:v>3</x:v>
      </x:c>
      <x:c r="B8" s="31" t="str">
        <x:f>IF(AND(Riesgos!$D$6=$A8,Riesgos!$E$6=B$5),Riesgos!$A$6&amp;" ","")&amp;IF(AND(Riesgos!$D$7=$A8,Riesgos!$E$7=B$5),Riesgos!$A$7&amp;" ","")&amp;IF(AND(Riesgos!$D$8=$A8,Riesgos!$E$8=B$5),Riesgos!$A$8&amp;" ","")&amp;IF(AND(Riesgos!$D$9=$A8,Riesgos!$E$9=B$5),Riesgos!$A$9&amp;" ","")&amp;IF(AND(Riesgos!$D$10=$A8,Riesgos!$E$10=B$5),Riesgos!$A$10&amp;" ","")&amp;IF(AND(Riesgos!$D$11=$A8,Riesgos!$E$11=B$5),Riesgos!$A$11&amp;" ","")&amp;IF(AND(Riesgos!$D$12=$A8,Riesgos!$E$12=B$5),Riesgos!$A$12&amp;" ","")&amp;IF(AND(Riesgos!$D$13=$A8,Riesgos!$E$13=B$5),Riesgos!$A$13&amp;" ","")&amp;IF(AND(Riesgos!$D$14=$A8,Riesgos!$E$14=B$5),Riesgos!$A$14&amp;" ","")&amp;IF(AND(Riesgos!$D$15=$A8,Riesgos!$E$15=B$5),Riesgos!$A$15&amp;" ","")&amp;IF(AND(Riesgos!$D$16=$A8,Riesgos!$E$16=B$5),Riesgos!$A$16&amp;" ","")&amp;IF(AND(Riesgos!$D$17=$A8,Riesgos!$E$17=B$5),Riesgos!$A$17&amp;" ","")&amp;IF(AND(Riesgos!$D$18=$A8,Riesgos!$E$18=B$5),Riesgos!$A$18&amp;" ","")&amp;IF(AND(Riesgos!$D$19=$A8,Riesgos!$E$19=B$5),Riesgos!$A$19&amp;" ","")&amp;IF(AND(Riesgos!$D$20=$A8,Riesgos!$E$20=B$5),Riesgos!$A$20&amp;" ","")&amp;IF(AND(Riesgos!$D$21=$A8,Riesgos!$E$21=B$5),Riesgos!$A$21&amp;" ","")&amp;IF(AND(Riesgos!$D$22=$A8,Riesgos!$E$22=B$5),Riesgos!$A$22&amp;" ","")&amp;IF(AND(Riesgos!$D$23=$A8,Riesgos!$E$23=B$5),Riesgos!$A$23&amp;" ","")&amp;IF(AND(Riesgos!$D$24=$A8,Riesgos!$E$24=B$5),Riesgos!$A$24&amp;" ","")</x:f>
      </x:c>
      <x:c r="C8" s="32" t="str">
        <x:f>IF(AND(Riesgos!$D$6=$A8,Riesgos!$E$6=C$5),Riesgos!$A$6&amp;" ","")&amp;IF(AND(Riesgos!$D$7=$A8,Riesgos!$E$7=C$5),Riesgos!$A$7&amp;" ","")&amp;IF(AND(Riesgos!$D$8=$A8,Riesgos!$E$8=C$5),Riesgos!$A$8&amp;" ","")&amp;IF(AND(Riesgos!$D$9=$A8,Riesgos!$E$9=C$5),Riesgos!$A$9&amp;" ","")&amp;IF(AND(Riesgos!$D$10=$A8,Riesgos!$E$10=C$5),Riesgos!$A$10&amp;" ","")&amp;IF(AND(Riesgos!$D$11=$A8,Riesgos!$E$11=C$5),Riesgos!$A$11&amp;" ","")&amp;IF(AND(Riesgos!$D$12=$A8,Riesgos!$E$12=C$5),Riesgos!$A$12&amp;" ","")&amp;IF(AND(Riesgos!$D$13=$A8,Riesgos!$E$13=C$5),Riesgos!$A$13&amp;" ","")&amp;IF(AND(Riesgos!$D$14=$A8,Riesgos!$E$14=C$5),Riesgos!$A$14&amp;" ","")&amp;IF(AND(Riesgos!$D$15=$A8,Riesgos!$E$15=C$5),Riesgos!$A$15&amp;" ","")&amp;IF(AND(Riesgos!$D$16=$A8,Riesgos!$E$16=C$5),Riesgos!$A$16&amp;" ","")&amp;IF(AND(Riesgos!$D$17=$A8,Riesgos!$E$17=C$5),Riesgos!$A$17&amp;" ","")&amp;IF(AND(Riesgos!$D$18=$A8,Riesgos!$E$18=C$5),Riesgos!$A$18&amp;" ","")&amp;IF(AND(Riesgos!$D$19=$A8,Riesgos!$E$19=C$5),Riesgos!$A$19&amp;" ","")&amp;IF(AND(Riesgos!$D$20=$A8,Riesgos!$E$20=C$5),Riesgos!$A$20&amp;" ","")&amp;IF(AND(Riesgos!$D$21=$A8,Riesgos!$E$21=C$5),Riesgos!$A$21&amp;" ","")&amp;IF(AND(Riesgos!$D$22=$A8,Riesgos!$E$22=C$5),Riesgos!$A$22&amp;" ","")&amp;IF(AND(Riesgos!$D$23=$A8,Riesgos!$E$23=C$5),Riesgos!$A$23&amp;" ","")&amp;IF(AND(Riesgos!$D$24=$A8,Riesgos!$E$24=C$5),Riesgos!$A$24&amp;" ","")</x:f>
      </x:c>
      <x:c r="D8" s="32" t="str">
        <x:f>IF(AND(Riesgos!$D$6=$A8,Riesgos!$E$6=D$5),Riesgos!$A$6&amp;" ","")&amp;IF(AND(Riesgos!$D$7=$A8,Riesgos!$E$7=D$5),Riesgos!$A$7&amp;" ","")&amp;IF(AND(Riesgos!$D$8=$A8,Riesgos!$E$8=D$5),Riesgos!$A$8&amp;" ","")&amp;IF(AND(Riesgos!$D$9=$A8,Riesgos!$E$9=D$5),Riesgos!$A$9&amp;" ","")&amp;IF(AND(Riesgos!$D$10=$A8,Riesgos!$E$10=D$5),Riesgos!$A$10&amp;" ","")&amp;IF(AND(Riesgos!$D$11=$A8,Riesgos!$E$11=D$5),Riesgos!$A$11&amp;" ","")&amp;IF(AND(Riesgos!$D$12=$A8,Riesgos!$E$12=D$5),Riesgos!$A$12&amp;" ","")&amp;IF(AND(Riesgos!$D$13=$A8,Riesgos!$E$13=D$5),Riesgos!$A$13&amp;" ","")&amp;IF(AND(Riesgos!$D$14=$A8,Riesgos!$E$14=D$5),Riesgos!$A$14&amp;" ","")&amp;IF(AND(Riesgos!$D$15=$A8,Riesgos!$E$15=D$5),Riesgos!$A$15&amp;" ","")&amp;IF(AND(Riesgos!$D$16=$A8,Riesgos!$E$16=D$5),Riesgos!$A$16&amp;" ","")&amp;IF(AND(Riesgos!$D$17=$A8,Riesgos!$E$17=D$5),Riesgos!$A$17&amp;" ","")&amp;IF(AND(Riesgos!$D$18=$A8,Riesgos!$E$18=D$5),Riesgos!$A$18&amp;" ","")&amp;IF(AND(Riesgos!$D$19=$A8,Riesgos!$E$19=D$5),Riesgos!$A$19&amp;" ","")&amp;IF(AND(Riesgos!$D$20=$A8,Riesgos!$E$20=D$5),Riesgos!$A$20&amp;" ","")&amp;IF(AND(Riesgos!$D$21=$A8,Riesgos!$E$21=D$5),Riesgos!$A$21&amp;" ","")&amp;IF(AND(Riesgos!$D$22=$A8,Riesgos!$E$22=D$5),Riesgos!$A$22&amp;" ","")&amp;IF(AND(Riesgos!$D$23=$A8,Riesgos!$E$23=D$5),Riesgos!$A$23&amp;" ","")&amp;IF(AND(Riesgos!$D$24=$A8,Riesgos!$E$24=D$5),Riesgos!$A$24&amp;" ","")</x:f>
        <x:v>RI-6 RI-16 </x:v>
      </x:c>
      <x:c r="E8" s="32" t="str">
        <x:f>IF(AND(Riesgos!$D$6=$A8,Riesgos!$E$6=E$5),Riesgos!$A$6&amp;" ","")&amp;IF(AND(Riesgos!$D$7=$A8,Riesgos!$E$7=E$5),Riesgos!$A$7&amp;" ","")&amp;IF(AND(Riesgos!$D$8=$A8,Riesgos!$E$8=E$5),Riesgos!$A$8&amp;" ","")&amp;IF(AND(Riesgos!$D$9=$A8,Riesgos!$E$9=E$5),Riesgos!$A$9&amp;" ","")&amp;IF(AND(Riesgos!$D$10=$A8,Riesgos!$E$10=E$5),Riesgos!$A$10&amp;" ","")&amp;IF(AND(Riesgos!$D$11=$A8,Riesgos!$E$11=E$5),Riesgos!$A$11&amp;" ","")&amp;IF(AND(Riesgos!$D$12=$A8,Riesgos!$E$12=E$5),Riesgos!$A$12&amp;" ","")&amp;IF(AND(Riesgos!$D$13=$A8,Riesgos!$E$13=E$5),Riesgos!$A$13&amp;" ","")&amp;IF(AND(Riesgos!$D$14=$A8,Riesgos!$E$14=E$5),Riesgos!$A$14&amp;" ","")&amp;IF(AND(Riesgos!$D$15=$A8,Riesgos!$E$15=E$5),Riesgos!$A$15&amp;" ","")&amp;IF(AND(Riesgos!$D$16=$A8,Riesgos!$E$16=E$5),Riesgos!$A$16&amp;" ","")&amp;IF(AND(Riesgos!$D$17=$A8,Riesgos!$E$17=E$5),Riesgos!$A$17&amp;" ","")&amp;IF(AND(Riesgos!$D$18=$A8,Riesgos!$E$18=E$5),Riesgos!$A$18&amp;" ","")&amp;IF(AND(Riesgos!$D$19=$A8,Riesgos!$E$19=E$5),Riesgos!$A$19&amp;" ","")&amp;IF(AND(Riesgos!$D$20=$A8,Riesgos!$E$20=E$5),Riesgos!$A$20&amp;" ","")&amp;IF(AND(Riesgos!$D$21=$A8,Riesgos!$E$21=E$5),Riesgos!$A$21&amp;" ","")&amp;IF(AND(Riesgos!$D$22=$A8,Riesgos!$E$22=E$5),Riesgos!$A$22&amp;" ","")&amp;IF(AND(Riesgos!$D$23=$A8,Riesgos!$E$23=E$5),Riesgos!$A$23&amp;" ","")&amp;IF(AND(Riesgos!$D$24=$A8,Riesgos!$E$24=E$5),Riesgos!$A$24&amp;" ","")</x:f>
        <x:v>RI-2 RI-10 RI-11 RI-12 RI-13 RI-14 RI-19 </x:v>
      </x:c>
      <x:c r="F8" s="33" t="str">
        <x:f>IF(AND(Riesgos!$D$6=$A8,Riesgos!$E$6=F$5),Riesgos!$A$6&amp;" ","")&amp;IF(AND(Riesgos!$D$7=$A8,Riesgos!$E$7=F$5),Riesgos!$A$7&amp;" ","")&amp;IF(AND(Riesgos!$D$8=$A8,Riesgos!$E$8=F$5),Riesgos!$A$8&amp;" ","")&amp;IF(AND(Riesgos!$D$9=$A8,Riesgos!$E$9=F$5),Riesgos!$A$9&amp;" ","")&amp;IF(AND(Riesgos!$D$10=$A8,Riesgos!$E$10=F$5),Riesgos!$A$10&amp;" ","")&amp;IF(AND(Riesgos!$D$11=$A8,Riesgos!$E$11=F$5),Riesgos!$A$11&amp;" ","")&amp;IF(AND(Riesgos!$D$12=$A8,Riesgos!$E$12=F$5),Riesgos!$A$12&amp;" ","")&amp;IF(AND(Riesgos!$D$13=$A8,Riesgos!$E$13=F$5),Riesgos!$A$13&amp;" ","")&amp;IF(AND(Riesgos!$D$14=$A8,Riesgos!$E$14=F$5),Riesgos!$A$14&amp;" ","")&amp;IF(AND(Riesgos!$D$15=$A8,Riesgos!$E$15=F$5),Riesgos!$A$15&amp;" ","")&amp;IF(AND(Riesgos!$D$16=$A8,Riesgos!$E$16=F$5),Riesgos!$A$16&amp;" ","")&amp;IF(AND(Riesgos!$D$17=$A8,Riesgos!$E$17=F$5),Riesgos!$A$17&amp;" ","")&amp;IF(AND(Riesgos!$D$18=$A8,Riesgos!$E$18=F$5),Riesgos!$A$18&amp;" ","")&amp;IF(AND(Riesgos!$D$19=$A8,Riesgos!$E$19=F$5),Riesgos!$A$19&amp;" ","")&amp;IF(AND(Riesgos!$D$20=$A8,Riesgos!$E$20=F$5),Riesgos!$A$20&amp;" ","")&amp;IF(AND(Riesgos!$D$21=$A8,Riesgos!$E$21=F$5),Riesgos!$A$21&amp;" ","")&amp;IF(AND(Riesgos!$D$22=$A8,Riesgos!$E$22=F$5),Riesgos!$A$22&amp;" ","")&amp;IF(AND(Riesgos!$D$23=$A8,Riesgos!$E$23=F$5),Riesgos!$A$23&amp;" ","")&amp;IF(AND(Riesgos!$D$24=$A8,Riesgos!$E$24=F$5),Riesgos!$A$24&amp;" ","")</x:f>
        <x:v>RI-1 RI-5 RI-8 RI-9 RI-17 RI-18 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</x:row>
    <x:row r="9" ht="65" customHeight="1">
      <x:c r="A9" s="2" t="n">
        <x:v>2</x:v>
      </x:c>
      <x:c r="B9" s="31" t="str">
        <x:f>IF(AND(Riesgos!$D$6=$A9,Riesgos!$E$6=B$5),Riesgos!$A$6&amp;" ","")&amp;IF(AND(Riesgos!$D$7=$A9,Riesgos!$E$7=B$5),Riesgos!$A$7&amp;" ","")&amp;IF(AND(Riesgos!$D$8=$A9,Riesgos!$E$8=B$5),Riesgos!$A$8&amp;" ","")&amp;IF(AND(Riesgos!$D$9=$A9,Riesgos!$E$9=B$5),Riesgos!$A$9&amp;" ","")&amp;IF(AND(Riesgos!$D$10=$A9,Riesgos!$E$10=B$5),Riesgos!$A$10&amp;" ","")&amp;IF(AND(Riesgos!$D$11=$A9,Riesgos!$E$11=B$5),Riesgos!$A$11&amp;" ","")&amp;IF(AND(Riesgos!$D$12=$A9,Riesgos!$E$12=B$5),Riesgos!$A$12&amp;" ","")&amp;IF(AND(Riesgos!$D$13=$A9,Riesgos!$E$13=B$5),Riesgos!$A$13&amp;" ","")&amp;IF(AND(Riesgos!$D$14=$A9,Riesgos!$E$14=B$5),Riesgos!$A$14&amp;" ","")&amp;IF(AND(Riesgos!$D$15=$A9,Riesgos!$E$15=B$5),Riesgos!$A$15&amp;" ","")&amp;IF(AND(Riesgos!$D$16=$A9,Riesgos!$E$16=B$5),Riesgos!$A$16&amp;" ","")&amp;IF(AND(Riesgos!$D$17=$A9,Riesgos!$E$17=B$5),Riesgos!$A$17&amp;" ","")&amp;IF(AND(Riesgos!$D$18=$A9,Riesgos!$E$18=B$5),Riesgos!$A$18&amp;" ","")&amp;IF(AND(Riesgos!$D$19=$A9,Riesgos!$E$19=B$5),Riesgos!$A$19&amp;" ","")&amp;IF(AND(Riesgos!$D$20=$A9,Riesgos!$E$20=B$5),Riesgos!$A$20&amp;" ","")&amp;IF(AND(Riesgos!$D$21=$A9,Riesgos!$E$21=B$5),Riesgos!$A$21&amp;" ","")&amp;IF(AND(Riesgos!$D$22=$A9,Riesgos!$E$22=B$5),Riesgos!$A$22&amp;" ","")&amp;IF(AND(Riesgos!$D$23=$A9,Riesgos!$E$23=B$5),Riesgos!$A$23&amp;" ","")&amp;IF(AND(Riesgos!$D$24=$A9,Riesgos!$E$24=B$5),Riesgos!$A$24&amp;" ","")</x:f>
      </x:c>
      <x:c r="C9" s="31" t="str">
        <x:f>IF(AND(Riesgos!$D$6=$A9,Riesgos!$E$6=C$5),Riesgos!$A$6&amp;" ","")&amp;IF(AND(Riesgos!$D$7=$A9,Riesgos!$E$7=C$5),Riesgos!$A$7&amp;" ","")&amp;IF(AND(Riesgos!$D$8=$A9,Riesgos!$E$8=C$5),Riesgos!$A$8&amp;" ","")&amp;IF(AND(Riesgos!$D$9=$A9,Riesgos!$E$9=C$5),Riesgos!$A$9&amp;" ","")&amp;IF(AND(Riesgos!$D$10=$A9,Riesgos!$E$10=C$5),Riesgos!$A$10&amp;" ","")&amp;IF(AND(Riesgos!$D$11=$A9,Riesgos!$E$11=C$5),Riesgos!$A$11&amp;" ","")&amp;IF(AND(Riesgos!$D$12=$A9,Riesgos!$E$12=C$5),Riesgos!$A$12&amp;" ","")&amp;IF(AND(Riesgos!$D$13=$A9,Riesgos!$E$13=C$5),Riesgos!$A$13&amp;" ","")&amp;IF(AND(Riesgos!$D$14=$A9,Riesgos!$E$14=C$5),Riesgos!$A$14&amp;" ","")&amp;IF(AND(Riesgos!$D$15=$A9,Riesgos!$E$15=C$5),Riesgos!$A$15&amp;" ","")&amp;IF(AND(Riesgos!$D$16=$A9,Riesgos!$E$16=C$5),Riesgos!$A$16&amp;" ","")&amp;IF(AND(Riesgos!$D$17=$A9,Riesgos!$E$17=C$5),Riesgos!$A$17&amp;" ","")&amp;IF(AND(Riesgos!$D$18=$A9,Riesgos!$E$18=C$5),Riesgos!$A$18&amp;" ","")&amp;IF(AND(Riesgos!$D$19=$A9,Riesgos!$E$19=C$5),Riesgos!$A$19&amp;" ","")&amp;IF(AND(Riesgos!$D$20=$A9,Riesgos!$E$20=C$5),Riesgos!$A$20&amp;" ","")&amp;IF(AND(Riesgos!$D$21=$A9,Riesgos!$E$21=C$5),Riesgos!$A$21&amp;" ","")&amp;IF(AND(Riesgos!$D$22=$A9,Riesgos!$E$22=C$5),Riesgos!$A$22&amp;" ","")&amp;IF(AND(Riesgos!$D$23=$A9,Riesgos!$E$23=C$5),Riesgos!$A$23&amp;" ","")&amp;IF(AND(Riesgos!$D$24=$A9,Riesgos!$E$24=C$5),Riesgos!$A$24&amp;" ","")</x:f>
      </x:c>
      <x:c r="D9" s="32" t="str">
        <x:f>IF(AND(Riesgos!$D$6=$A9,Riesgos!$E$6=D$5),Riesgos!$A$6&amp;" ","")&amp;IF(AND(Riesgos!$D$7=$A9,Riesgos!$E$7=D$5),Riesgos!$A$7&amp;" ","")&amp;IF(AND(Riesgos!$D$8=$A9,Riesgos!$E$8=D$5),Riesgos!$A$8&amp;" ","")&amp;IF(AND(Riesgos!$D$9=$A9,Riesgos!$E$9=D$5),Riesgos!$A$9&amp;" ","")&amp;IF(AND(Riesgos!$D$10=$A9,Riesgos!$E$10=D$5),Riesgos!$A$10&amp;" ","")&amp;IF(AND(Riesgos!$D$11=$A9,Riesgos!$E$11=D$5),Riesgos!$A$11&amp;" ","")&amp;IF(AND(Riesgos!$D$12=$A9,Riesgos!$E$12=D$5),Riesgos!$A$12&amp;" ","")&amp;IF(AND(Riesgos!$D$13=$A9,Riesgos!$E$13=D$5),Riesgos!$A$13&amp;" ","")&amp;IF(AND(Riesgos!$D$14=$A9,Riesgos!$E$14=D$5),Riesgos!$A$14&amp;" ","")&amp;IF(AND(Riesgos!$D$15=$A9,Riesgos!$E$15=D$5),Riesgos!$A$15&amp;" ","")&amp;IF(AND(Riesgos!$D$16=$A9,Riesgos!$E$16=D$5),Riesgos!$A$16&amp;" ","")&amp;IF(AND(Riesgos!$D$17=$A9,Riesgos!$E$17=D$5),Riesgos!$A$17&amp;" ","")&amp;IF(AND(Riesgos!$D$18=$A9,Riesgos!$E$18=D$5),Riesgos!$A$18&amp;" ","")&amp;IF(AND(Riesgos!$D$19=$A9,Riesgos!$E$19=D$5),Riesgos!$A$19&amp;" ","")&amp;IF(AND(Riesgos!$D$20=$A9,Riesgos!$E$20=D$5),Riesgos!$A$20&amp;" ","")&amp;IF(AND(Riesgos!$D$21=$A9,Riesgos!$E$21=D$5),Riesgos!$A$21&amp;" ","")&amp;IF(AND(Riesgos!$D$22=$A9,Riesgos!$E$22=D$5),Riesgos!$A$22&amp;" ","")&amp;IF(AND(Riesgos!$D$23=$A9,Riesgos!$E$23=D$5),Riesgos!$A$23&amp;" ","")&amp;IF(AND(Riesgos!$D$24=$A9,Riesgos!$E$24=D$5),Riesgos!$A$24&amp;" ","")</x:f>
      </x:c>
      <x:c r="E9" s="32" t="str">
        <x:f>IF(AND(Riesgos!$D$6=$A9,Riesgos!$E$6=E$5),Riesgos!$A$6&amp;" ","")&amp;IF(AND(Riesgos!$D$7=$A9,Riesgos!$E$7=E$5),Riesgos!$A$7&amp;" ","")&amp;IF(AND(Riesgos!$D$8=$A9,Riesgos!$E$8=E$5),Riesgos!$A$8&amp;" ","")&amp;IF(AND(Riesgos!$D$9=$A9,Riesgos!$E$9=E$5),Riesgos!$A$9&amp;" ","")&amp;IF(AND(Riesgos!$D$10=$A9,Riesgos!$E$10=E$5),Riesgos!$A$10&amp;" ","")&amp;IF(AND(Riesgos!$D$11=$A9,Riesgos!$E$11=E$5),Riesgos!$A$11&amp;" ","")&amp;IF(AND(Riesgos!$D$12=$A9,Riesgos!$E$12=E$5),Riesgos!$A$12&amp;" ","")&amp;IF(AND(Riesgos!$D$13=$A9,Riesgos!$E$13=E$5),Riesgos!$A$13&amp;" ","")&amp;IF(AND(Riesgos!$D$14=$A9,Riesgos!$E$14=E$5),Riesgos!$A$14&amp;" ","")&amp;IF(AND(Riesgos!$D$15=$A9,Riesgos!$E$15=E$5),Riesgos!$A$15&amp;" ","")&amp;IF(AND(Riesgos!$D$16=$A9,Riesgos!$E$16=E$5),Riesgos!$A$16&amp;" ","")&amp;IF(AND(Riesgos!$D$17=$A9,Riesgos!$E$17=E$5),Riesgos!$A$17&amp;" ","")&amp;IF(AND(Riesgos!$D$18=$A9,Riesgos!$E$18=E$5),Riesgos!$A$18&amp;" ","")&amp;IF(AND(Riesgos!$D$19=$A9,Riesgos!$E$19=E$5),Riesgos!$A$19&amp;" ","")&amp;IF(AND(Riesgos!$D$20=$A9,Riesgos!$E$20=E$5),Riesgos!$A$20&amp;" ","")&amp;IF(AND(Riesgos!$D$21=$A9,Riesgos!$E$21=E$5),Riesgos!$A$21&amp;" ","")&amp;IF(AND(Riesgos!$D$22=$A9,Riesgos!$E$22=E$5),Riesgos!$A$22&amp;" ","")&amp;IF(AND(Riesgos!$D$23=$A9,Riesgos!$E$23=E$5),Riesgos!$A$23&amp;" ","")&amp;IF(AND(Riesgos!$D$24=$A9,Riesgos!$E$24=E$5),Riesgos!$A$24&amp;" ","")</x:f>
        <x:v>RI-15 </x:v>
      </x:c>
      <x:c r="F9" s="32" t="str">
        <x:f>IF(AND(Riesgos!$D$6=$A9,Riesgos!$E$6=F$5),Riesgos!$A$6&amp;" ","")&amp;IF(AND(Riesgos!$D$7=$A9,Riesgos!$E$7=F$5),Riesgos!$A$7&amp;" ","")&amp;IF(AND(Riesgos!$D$8=$A9,Riesgos!$E$8=F$5),Riesgos!$A$8&amp;" ","")&amp;IF(AND(Riesgos!$D$9=$A9,Riesgos!$E$9=F$5),Riesgos!$A$9&amp;" ","")&amp;IF(AND(Riesgos!$D$10=$A9,Riesgos!$E$10=F$5),Riesgos!$A$10&amp;" ","")&amp;IF(AND(Riesgos!$D$11=$A9,Riesgos!$E$11=F$5),Riesgos!$A$11&amp;" ","")&amp;IF(AND(Riesgos!$D$12=$A9,Riesgos!$E$12=F$5),Riesgos!$A$12&amp;" ","")&amp;IF(AND(Riesgos!$D$13=$A9,Riesgos!$E$13=F$5),Riesgos!$A$13&amp;" ","")&amp;IF(AND(Riesgos!$D$14=$A9,Riesgos!$E$14=F$5),Riesgos!$A$14&amp;" ","")&amp;IF(AND(Riesgos!$D$15=$A9,Riesgos!$E$15=F$5),Riesgos!$A$15&amp;" ","")&amp;IF(AND(Riesgos!$D$16=$A9,Riesgos!$E$16=F$5),Riesgos!$A$16&amp;" ","")&amp;IF(AND(Riesgos!$D$17=$A9,Riesgos!$E$17=F$5),Riesgos!$A$17&amp;" ","")&amp;IF(AND(Riesgos!$D$18=$A9,Riesgos!$E$18=F$5),Riesgos!$A$18&amp;" ","")&amp;IF(AND(Riesgos!$D$19=$A9,Riesgos!$E$19=F$5),Riesgos!$A$19&amp;" ","")&amp;IF(AND(Riesgos!$D$20=$A9,Riesgos!$E$20=F$5),Riesgos!$A$20&amp;" ","")&amp;IF(AND(Riesgos!$D$21=$A9,Riesgos!$E$21=F$5),Riesgos!$A$21&amp;" ","")&amp;IF(AND(Riesgos!$D$22=$A9,Riesgos!$E$22=F$5),Riesgos!$A$22&amp;" ","")&amp;IF(AND(Riesgos!$D$23=$A9,Riesgos!$E$23=F$5),Riesgos!$A$23&amp;" ","")&amp;IF(AND(Riesgos!$D$24=$A9,Riesgos!$E$24=F$5),Riesgos!$A$24&amp;" ","")</x:f>
        <x:v>RI-4 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 ht="65" customHeight="1">
      <x:c r="A10" s="2" t="n">
        <x:v>1</x:v>
      </x:c>
      <x:c r="B10" s="31" t="str">
        <x:f>IF(AND(Riesgos!$D$6=$A10,Riesgos!$E$6=B$5),Riesgos!$A$6&amp;" ","")&amp;IF(AND(Riesgos!$D$7=$A10,Riesgos!$E$7=B$5),Riesgos!$A$7&amp;" ","")&amp;IF(AND(Riesgos!$D$8=$A10,Riesgos!$E$8=B$5),Riesgos!$A$8&amp;" ","")&amp;IF(AND(Riesgos!$D$9=$A10,Riesgos!$E$9=B$5),Riesgos!$A$9&amp;" ","")&amp;IF(AND(Riesgos!$D$10=$A10,Riesgos!$E$10=B$5),Riesgos!$A$10&amp;" ","")&amp;IF(AND(Riesgos!$D$11=$A10,Riesgos!$E$11=B$5),Riesgos!$A$11&amp;" ","")&amp;IF(AND(Riesgos!$D$12=$A10,Riesgos!$E$12=B$5),Riesgos!$A$12&amp;" ","")&amp;IF(AND(Riesgos!$D$13=$A10,Riesgos!$E$13=B$5),Riesgos!$A$13&amp;" ","")&amp;IF(AND(Riesgos!$D$14=$A10,Riesgos!$E$14=B$5),Riesgos!$A$14&amp;" ","")&amp;IF(AND(Riesgos!$D$15=$A10,Riesgos!$E$15=B$5),Riesgos!$A$15&amp;" ","")&amp;IF(AND(Riesgos!$D$16=$A10,Riesgos!$E$16=B$5),Riesgos!$A$16&amp;" ","")&amp;IF(AND(Riesgos!$D$17=$A10,Riesgos!$E$17=B$5),Riesgos!$A$17&amp;" ","")&amp;IF(AND(Riesgos!$D$18=$A10,Riesgos!$E$18=B$5),Riesgos!$A$18&amp;" ","")&amp;IF(AND(Riesgos!$D$19=$A10,Riesgos!$E$19=B$5),Riesgos!$A$19&amp;" ","")&amp;IF(AND(Riesgos!$D$20=$A10,Riesgos!$E$20=B$5),Riesgos!$A$20&amp;" ","")&amp;IF(AND(Riesgos!$D$21=$A10,Riesgos!$E$21=B$5),Riesgos!$A$21&amp;" ","")&amp;IF(AND(Riesgos!$D$22=$A10,Riesgos!$E$22=B$5),Riesgos!$A$22&amp;" ","")&amp;IF(AND(Riesgos!$D$23=$A10,Riesgos!$E$23=B$5),Riesgos!$A$23&amp;" ","")&amp;IF(AND(Riesgos!$D$24=$A10,Riesgos!$E$24=B$5),Riesgos!$A$24&amp;" ","")</x:f>
      </x:c>
      <x:c r="C10" s="31" t="str">
        <x:f>IF(AND(Riesgos!$D$6=$A10,Riesgos!$E$6=C$5),Riesgos!$A$6&amp;" ","")&amp;IF(AND(Riesgos!$D$7=$A10,Riesgos!$E$7=C$5),Riesgos!$A$7&amp;" ","")&amp;IF(AND(Riesgos!$D$8=$A10,Riesgos!$E$8=C$5),Riesgos!$A$8&amp;" ","")&amp;IF(AND(Riesgos!$D$9=$A10,Riesgos!$E$9=C$5),Riesgos!$A$9&amp;" ","")&amp;IF(AND(Riesgos!$D$10=$A10,Riesgos!$E$10=C$5),Riesgos!$A$10&amp;" ","")&amp;IF(AND(Riesgos!$D$11=$A10,Riesgos!$E$11=C$5),Riesgos!$A$11&amp;" ","")&amp;IF(AND(Riesgos!$D$12=$A10,Riesgos!$E$12=C$5),Riesgos!$A$12&amp;" ","")&amp;IF(AND(Riesgos!$D$13=$A10,Riesgos!$E$13=C$5),Riesgos!$A$13&amp;" ","")&amp;IF(AND(Riesgos!$D$14=$A10,Riesgos!$E$14=C$5),Riesgos!$A$14&amp;" ","")&amp;IF(AND(Riesgos!$D$15=$A10,Riesgos!$E$15=C$5),Riesgos!$A$15&amp;" ","")&amp;IF(AND(Riesgos!$D$16=$A10,Riesgos!$E$16=C$5),Riesgos!$A$16&amp;" ","")&amp;IF(AND(Riesgos!$D$17=$A10,Riesgos!$E$17=C$5),Riesgos!$A$17&amp;" ","")&amp;IF(AND(Riesgos!$D$18=$A10,Riesgos!$E$18=C$5),Riesgos!$A$18&amp;" ","")&amp;IF(AND(Riesgos!$D$19=$A10,Riesgos!$E$19=C$5),Riesgos!$A$19&amp;" ","")&amp;IF(AND(Riesgos!$D$20=$A10,Riesgos!$E$20=C$5),Riesgos!$A$20&amp;" ","")&amp;IF(AND(Riesgos!$D$21=$A10,Riesgos!$E$21=C$5),Riesgos!$A$21&amp;" ","")&amp;IF(AND(Riesgos!$D$22=$A10,Riesgos!$E$22=C$5),Riesgos!$A$22&amp;" ","")&amp;IF(AND(Riesgos!$D$23=$A10,Riesgos!$E$23=C$5),Riesgos!$A$23&amp;" ","")&amp;IF(AND(Riesgos!$D$24=$A10,Riesgos!$E$24=C$5),Riesgos!$A$24&amp;" ","")</x:f>
      </x:c>
      <x:c r="D10" s="31" t="str">
        <x:f>IF(AND(Riesgos!$D$6=$A10,Riesgos!$E$6=D$5),Riesgos!$A$6&amp;" ","")&amp;IF(AND(Riesgos!$D$7=$A10,Riesgos!$E$7=D$5),Riesgos!$A$7&amp;" ","")&amp;IF(AND(Riesgos!$D$8=$A10,Riesgos!$E$8=D$5),Riesgos!$A$8&amp;" ","")&amp;IF(AND(Riesgos!$D$9=$A10,Riesgos!$E$9=D$5),Riesgos!$A$9&amp;" ","")&amp;IF(AND(Riesgos!$D$10=$A10,Riesgos!$E$10=D$5),Riesgos!$A$10&amp;" ","")&amp;IF(AND(Riesgos!$D$11=$A10,Riesgos!$E$11=D$5),Riesgos!$A$11&amp;" ","")&amp;IF(AND(Riesgos!$D$12=$A10,Riesgos!$E$12=D$5),Riesgos!$A$12&amp;" ","")&amp;IF(AND(Riesgos!$D$13=$A10,Riesgos!$E$13=D$5),Riesgos!$A$13&amp;" ","")&amp;IF(AND(Riesgos!$D$14=$A10,Riesgos!$E$14=D$5),Riesgos!$A$14&amp;" ","")&amp;IF(AND(Riesgos!$D$15=$A10,Riesgos!$E$15=D$5),Riesgos!$A$15&amp;" ","")&amp;IF(AND(Riesgos!$D$16=$A10,Riesgos!$E$16=D$5),Riesgos!$A$16&amp;" ","")&amp;IF(AND(Riesgos!$D$17=$A10,Riesgos!$E$17=D$5),Riesgos!$A$17&amp;" ","")&amp;IF(AND(Riesgos!$D$18=$A10,Riesgos!$E$18=D$5),Riesgos!$A$18&amp;" ","")&amp;IF(AND(Riesgos!$D$19=$A10,Riesgos!$E$19=D$5),Riesgos!$A$19&amp;" ","")&amp;IF(AND(Riesgos!$D$20=$A10,Riesgos!$E$20=D$5),Riesgos!$A$20&amp;" ","")&amp;IF(AND(Riesgos!$D$21=$A10,Riesgos!$E$21=D$5),Riesgos!$A$21&amp;" ","")&amp;IF(AND(Riesgos!$D$22=$A10,Riesgos!$E$22=D$5),Riesgos!$A$22&amp;" ","")&amp;IF(AND(Riesgos!$D$23=$A10,Riesgos!$E$23=D$5),Riesgos!$A$23&amp;" ","")&amp;IF(AND(Riesgos!$D$24=$A10,Riesgos!$E$24=D$5),Riesgos!$A$24&amp;" ","")</x:f>
      </x:c>
      <x:c r="E10" s="31" t="str">
        <x:f>IF(AND(Riesgos!$D$6=$A10,Riesgos!$E$6=E$5),Riesgos!$A$6&amp;" ","")&amp;IF(AND(Riesgos!$D$7=$A10,Riesgos!$E$7=E$5),Riesgos!$A$7&amp;" ","")&amp;IF(AND(Riesgos!$D$8=$A10,Riesgos!$E$8=E$5),Riesgos!$A$8&amp;" ","")&amp;IF(AND(Riesgos!$D$9=$A10,Riesgos!$E$9=E$5),Riesgos!$A$9&amp;" ","")&amp;IF(AND(Riesgos!$D$10=$A10,Riesgos!$E$10=E$5),Riesgos!$A$10&amp;" ","")&amp;IF(AND(Riesgos!$D$11=$A10,Riesgos!$E$11=E$5),Riesgos!$A$11&amp;" ","")&amp;IF(AND(Riesgos!$D$12=$A10,Riesgos!$E$12=E$5),Riesgos!$A$12&amp;" ","")&amp;IF(AND(Riesgos!$D$13=$A10,Riesgos!$E$13=E$5),Riesgos!$A$13&amp;" ","")&amp;IF(AND(Riesgos!$D$14=$A10,Riesgos!$E$14=E$5),Riesgos!$A$14&amp;" ","")&amp;IF(AND(Riesgos!$D$15=$A10,Riesgos!$E$15=E$5),Riesgos!$A$15&amp;" ","")&amp;IF(AND(Riesgos!$D$16=$A10,Riesgos!$E$16=E$5),Riesgos!$A$16&amp;" ","")&amp;IF(AND(Riesgos!$D$17=$A10,Riesgos!$E$17=E$5),Riesgos!$A$17&amp;" ","")&amp;IF(AND(Riesgos!$D$18=$A10,Riesgos!$E$18=E$5),Riesgos!$A$18&amp;" ","")&amp;IF(AND(Riesgos!$D$19=$A10,Riesgos!$E$19=E$5),Riesgos!$A$19&amp;" ","")&amp;IF(AND(Riesgos!$D$20=$A10,Riesgos!$E$20=E$5),Riesgos!$A$20&amp;" ","")&amp;IF(AND(Riesgos!$D$21=$A10,Riesgos!$E$21=E$5),Riesgos!$A$21&amp;" ","")&amp;IF(AND(Riesgos!$D$22=$A10,Riesgos!$E$22=E$5),Riesgos!$A$22&amp;" ","")&amp;IF(AND(Riesgos!$D$23=$A10,Riesgos!$E$23=E$5),Riesgos!$A$23&amp;" ","")&amp;IF(AND(Riesgos!$D$24=$A10,Riesgos!$E$24=E$5),Riesgos!$A$24&amp;" ","")</x:f>
      </x:c>
      <x:c r="F10" s="31" t="str">
        <x:f>IF(AND(Riesgos!$D$6=$A10,Riesgos!$E$6=F$5),Riesgos!$A$6&amp;" ","")&amp;IF(AND(Riesgos!$D$7=$A10,Riesgos!$E$7=F$5),Riesgos!$A$7&amp;" ","")&amp;IF(AND(Riesgos!$D$8=$A10,Riesgos!$E$8=F$5),Riesgos!$A$8&amp;" ","")&amp;IF(AND(Riesgos!$D$9=$A10,Riesgos!$E$9=F$5),Riesgos!$A$9&amp;" ","")&amp;IF(AND(Riesgos!$D$10=$A10,Riesgos!$E$10=F$5),Riesgos!$A$10&amp;" ","")&amp;IF(AND(Riesgos!$D$11=$A10,Riesgos!$E$11=F$5),Riesgos!$A$11&amp;" ","")&amp;IF(AND(Riesgos!$D$12=$A10,Riesgos!$E$12=F$5),Riesgos!$A$12&amp;" ","")&amp;IF(AND(Riesgos!$D$13=$A10,Riesgos!$E$13=F$5),Riesgos!$A$13&amp;" ","")&amp;IF(AND(Riesgos!$D$14=$A10,Riesgos!$E$14=F$5),Riesgos!$A$14&amp;" ","")&amp;IF(AND(Riesgos!$D$15=$A10,Riesgos!$E$15=F$5),Riesgos!$A$15&amp;" ","")&amp;IF(AND(Riesgos!$D$16=$A10,Riesgos!$E$16=F$5),Riesgos!$A$16&amp;" ","")&amp;IF(AND(Riesgos!$D$17=$A10,Riesgos!$E$17=F$5),Riesgos!$A$17&amp;" ","")&amp;IF(AND(Riesgos!$D$18=$A10,Riesgos!$E$18=F$5),Riesgos!$A$18&amp;" ","")&amp;IF(AND(Riesgos!$D$19=$A10,Riesgos!$E$19=F$5),Riesgos!$A$19&amp;" ","")&amp;IF(AND(Riesgos!$D$20=$A10,Riesgos!$E$20=F$5),Riesgos!$A$20&amp;" ","")&amp;IF(AND(Riesgos!$D$21=$A10,Riesgos!$E$21=F$5),Riesgos!$A$21&amp;" ","")&amp;IF(AND(Riesgos!$D$22=$A10,Riesgos!$E$22=F$5),Riesgos!$A$22&amp;" ","")&amp;IF(AND(Riesgos!$D$23=$A10,Riesgos!$E$23=F$5),Riesgos!$A$23&amp;" ","")&amp;IF(AND(Riesgos!$D$24=$A10,Riesgos!$E$24=F$5),Riesgos!$A$24&amp;" ","")</x:f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24" customHeight="1">
      <x:c r="A13" s="2" t="str">
        <x:v>P:1≤10%;2&gt;10-30%;3&gt;30-50%;4&gt;50-80%;5&gt;80-&lt;100%. Son hipótesis, no frecuencia observada.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42" customHeight="1">
      <x:c r="A15" s="11" t="str">
        <x:v>I</x:v>
      </x:c>
      <x:c r="B15" s="11" t="str">
        <x:v>Costo adicional USD</x:v>
      </x:c>
      <x:c r="C15" s="11" t="str">
        <x:v>Plazo</x:v>
      </x:c>
      <x:c r="D15" s="11" t="str">
        <x:v>Calidad / aceptación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42" customHeight="1">
      <x:c r="A16" s="11" t="n">
        <x:v>1</x:v>
      </x:c>
      <x:c r="B16" s="11" t="str">
        <x:v>≤1.000</x:v>
      </x:c>
      <x:c r="C16" s="11" t="str">
        <x:v>≤1 día</x:v>
      </x:c>
      <x:c r="D16" s="11" t="str">
        <x:v>Menor sin criterio afectado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42" customHeight="1">
      <x:c r="A17" s="11" t="n">
        <x:v>2</x:v>
      </x:c>
      <x:c r="B17" s="11" t="str">
        <x:v>&gt;1.000-3.000</x:v>
      </x:c>
      <x:c r="C17" s="11" t="str">
        <x:v>&gt;1-3 días</x:v>
      </x:c>
      <x:c r="D17" s="11" t="str">
        <x:v>Secundario con alternativa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 ht="42" customHeight="1">
      <x:c r="A18" s="11" t="n">
        <x:v>3</x:v>
      </x:c>
      <x:c r="B18" s="11" t="str">
        <x:v>&gt;3.000-8.000</x:v>
      </x:c>
      <x:c r="C18" s="11" t="str">
        <x:v>&gt;3-5 días</x:v>
      </x:c>
      <x:c r="D18" s="11" t="str">
        <x:v>Retrabajo recuperable antes hito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 ht="42" customHeight="1">
      <x:c r="A19" s="11" t="n">
        <x:v>4</x:v>
      </x:c>
      <x:c r="B19" s="11" t="str">
        <x:v>&gt;8.000-15.000</x:v>
      </x:c>
      <x:c r="C19" s="11" t="str">
        <x:v>&gt;5-10 días o H-3 en riesgo</x:v>
      </x:c>
      <x:c r="D19" s="11" t="str">
        <x:v>Módulo principal comprometido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 ht="42" customHeight="1">
      <x:c r="A20" s="11" t="n">
        <x:v>5</x:v>
      </x:c>
      <x:c r="B20" s="11" t="str">
        <x:v>&gt;15.000</x:v>
      </x:c>
      <x:c r="C20" s="11" t="str">
        <x:v>&gt;10 días o desvío H-5/H-6/H-7</x:v>
      </x:c>
      <x:c r="D20" s="11" t="str">
        <x:v>Bloqueo seguridad/integridad/beneficio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</x:row>
    <x:row r="100" ht="24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</x:row>
    <x:row r="101" ht="24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</x:row>
    <x:row r="107" ht="24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</x:row>
    <x:row r="111" ht="24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</x:row>
    <x:row r="112" ht="24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</x:row>
    <x:row r="113" ht="24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</x:row>
    <x:row r="116" ht="24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</x:row>
    <x:row r="117" ht="24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</x:row>
    <x:row r="118" ht="24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</x:row>
    <x:row r="120" ht="24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</x:row>
    <x:row r="121" ht="24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</x:row>
    <x:row r="122" ht="24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</x:row>
    <x:row r="123" ht="24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</x:row>
    <x:row r="124" ht="24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</x:row>
    <x:row r="125" ht="24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</x:row>
    <x:row r="126" ht="24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</x:row>
    <x:row r="127" ht="24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</x:row>
    <x:row r="128" ht="24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</x:row>
    <x:row r="129" ht="24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</x:row>
    <x:row r="130" ht="24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38" hidden="0" customWidth="1"/>
    <x:col min="4" max="4" width="18" hidden="0" customWidth="1"/>
    <x:col min="5" max="5" width="20" hidden="0" customWidth="1"/>
    <x:col min="6" max="6" width="9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Contingencia: cálculo por respuesta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Provisión heredada 22.000 USD. Paquetes incrementales propuestos; no valor esperado ni cotizaciones. Reestimar si necesidades exceden provisión.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2" customHeight="1">
      <x:c r="A5" s="6" t="str">
        <x:v>Riesgo</x:v>
      </x:c>
      <x:c r="B5" s="6" t="str">
        <x:v>Cantidad incremental</x:v>
      </x:c>
      <x:c r="C5" s="6" t="str">
        <x:v>Unidad</x:v>
      </x:c>
      <x:c r="D5" s="6" t="str">
        <x:v>USD/unidad</x:v>
      </x:c>
      <x:c r="E5" s="6" t="str">
        <x:v>Reserva USD</x:v>
      </x:c>
      <x:c r="F5" s="6" t="str">
        <x:v>Exclusión / fundamento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48" customHeight="1">
      <x:c r="A6" s="2" t="str">
        <x:v>RI-1</x:v>
      </x:c>
      <x:c r="B6" s="8" t="n">
        <x:v>8</x:v>
      </x:c>
      <x:c r="C6" s="11" t="str">
        <x:v>días SG</x:v>
      </x:c>
      <x:c r="D6" s="34" t="n">
        <x:v>170</x:v>
      </x:c>
      <x:c r="E6" s="35" t="n">
        <x:f>B6*D6</x:f>
        <x:v>1360</x:v>
      </x:c>
      <x:c r="F6" s="11" t="str">
        <x:v>Conteo manual adicional VCA; no corrección de software K-2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48" customHeight="1">
      <x:c r="A7" s="2" t="str">
        <x:v>RI-1</x:v>
      </x:c>
      <x:c r="B7" s="8" t="n">
        <x:v>4</x:v>
      </x:c>
      <x:c r="C7" s="11" t="str">
        <x:v>días RH</x:v>
      </x:c>
      <x:c r="D7" s="34" t="n">
        <x:v>160</x:v>
      </x:c>
      <x:c r="E7" s="35" t="n">
        <x:f>B7*D7</x:f>
        <x:v>640</x:v>
      </x:c>
      <x:c r="F7" s="11" t="str">
        <x:v>Validación adicional de muestra VCA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48" customHeight="1">
      <x:c r="A8" s="2" t="str">
        <x:v>RI-2</x:v>
      </x:c>
      <x:c r="B8" s="8" t="n">
        <x:v>2</x:v>
      </x:c>
      <x:c r="C8" s="11" t="str">
        <x:v>entornos adicionales</x:v>
      </x:c>
      <x:c r="D8" s="34" t="n">
        <x:v>1200</x:v>
      </x:c>
      <x:c r="E8" s="35" t="n">
        <x:f>B8*D8</x:f>
        <x:v>2400</x:v>
      </x:c>
      <x:c r="F8" s="11" t="str">
        <x:v>Dos entornos extra por incompatibilidad, además de los dos sandbox iniciales P-4b; precio unitario supuesto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</x:row>
    <x:row r="9" ht="48" customHeight="1">
      <x:c r="A9" s="2" t="str">
        <x:v>RI-3</x:v>
      </x:c>
      <x:c r="B9" s="8" t="n">
        <x:v>4</x:v>
      </x:c>
      <x:c r="C9" s="11" t="str">
        <x:v>piezas adicionales</x:v>
      </x:c>
      <x:c r="D9" s="34" t="n">
        <x:v>300</x:v>
      </x:c>
      <x:c r="E9" s="35" t="n">
        <x:f>B9*D9</x:f>
        <x:v>1200</x:v>
      </x:c>
      <x:c r="F9" s="11" t="str">
        <x:v>Ampliación focalizada de campaña, fuera de 12 piezas P-3a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 ht="48" customHeight="1">
      <x:c r="A10" s="2" t="str">
        <x:v>RI-3</x:v>
      </x:c>
      <x:c r="B10" s="8" t="n">
        <x:v>5</x:v>
      </x:c>
      <x:c r="C10" s="11" t="str">
        <x:v>sesiones adicionales</x:v>
      </x:c>
      <x:c r="D10" s="34" t="n">
        <x:v>120</x:v>
      </x:c>
      <x:c r="E10" s="35" t="n">
        <x:f>B10*D10</x:f>
        <x:v>600</x:v>
      </x:c>
      <x:c r="F10" s="11" t="str">
        <x:v>Logística extra a las 30 sesiones P-3c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48" customHeight="1">
      <x:c r="A11" s="2" t="str">
        <x:v>RI-7</x:v>
      </x:c>
      <x:c r="B11" s="8" t="n">
        <x:v>10</x:v>
      </x:c>
      <x:c r="C11" s="11" t="str">
        <x:v>días-persona USR</x:v>
      </x:c>
      <x:c r="D11" s="34" t="n">
        <x:v>150</x:v>
      </x:c>
      <x:c r="E11" s="35" t="n">
        <x:f>B11*D11</x:f>
        <x:v>1500</x:v>
      </x:c>
      <x:c r="F11" s="11" t="str">
        <x:v>Recuperación extraordinaria de piloto; no horas ya planificadas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48" customHeight="1">
      <x:c r="A12" s="2" t="str">
        <x:v>RI-8</x:v>
      </x:c>
      <x:c r="B12" s="8" t="n">
        <x:v>10</x:v>
      </x:c>
      <x:c r="C12" s="11" t="str">
        <x:v>días-persona USR</x:v>
      </x:c>
      <x:c r="D12" s="34" t="n">
        <x:v>150</x:v>
      </x:c>
      <x:c r="E12" s="35" t="n">
        <x:f>B12*D12</x:f>
        <x:v>1500</x:v>
      </x:c>
      <x:c r="F12" s="11" t="str">
        <x:v>Sesiones adicionales a 22,5 días-persona UAT base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48" customHeight="1">
      <x:c r="A13" s="2" t="str">
        <x:v>RI-8</x:v>
      </x:c>
      <x:c r="B13" s="8" t="n">
        <x:v>4</x:v>
      </x:c>
      <x:c r="C13" s="11" t="str">
        <x:v>días SG</x:v>
      </x:c>
      <x:c r="D13" s="34" t="n">
        <x:v>170</x:v>
      </x:c>
      <x:c r="E13" s="35" t="n">
        <x:f>B13*D13</x:f>
        <x:v>680</x:v>
      </x:c>
      <x:c r="F13" s="11" t="str">
        <x:v>Apoyo adicional UAT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48" customHeight="1">
      <x:c r="A14" s="2" t="str">
        <x:v>RI-8</x:v>
      </x:c>
      <x:c r="B14" s="8" t="n">
        <x:v>2</x:v>
      </x:c>
      <x:c r="C14" s="11" t="str">
        <x:v>días RH</x:v>
      </x:c>
      <x:c r="D14" s="34" t="n">
        <x:v>160</x:v>
      </x:c>
      <x:c r="E14" s="35" t="n">
        <x:f>B14*D14</x:f>
        <x:v>320</x:v>
      </x:c>
      <x:c r="F14" s="11" t="str">
        <x:v>Coordinación adicional UAT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48" customHeight="1">
      <x:c r="A15" s="2" t="str">
        <x:v>RI-10</x:v>
      </x:c>
      <x:c r="B15" s="8" t="n">
        <x:v>2</x:v>
      </x:c>
      <x:c r="C15" s="11" t="str">
        <x:v>meses capacidad adicional</x:v>
      </x:c>
      <x:c r="D15" s="34" t="n">
        <x:v>1000</x:v>
      </x:c>
      <x:c r="E15" s="35" t="n">
        <x:f>B15*D15</x:f>
        <x:v>2000</x:v>
      </x:c>
      <x:c r="F15" s="11" t="str">
        <x:v>Incremento cloud marzo/abril, fuera de P-2c; capacidad y precio por validar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48" customHeight="1">
      <x:c r="A16" s="2" t="str">
        <x:v>RI-11</x:v>
      </x:c>
      <x:c r="B16" s="8" t="n">
        <x:v>5</x:v>
      </x:c>
      <x:c r="C16" s="11" t="str">
        <x:v>días SG</x:v>
      </x:c>
      <x:c r="D16" s="34" t="n">
        <x:v>170</x:v>
      </x:c>
      <x:c r="E16" s="35" t="n">
        <x:f>B16*D16</x:f>
        <x:v>850</x:v>
      </x:c>
      <x:c r="F16" s="11" t="str">
        <x:v>Corrección adicional de fuente de inventario VCA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48" customHeight="1">
      <x:c r="A17" s="2" t="str">
        <x:v>RI-11</x:v>
      </x:c>
      <x:c r="B17" s="8" t="n">
        <x:v>5</x:v>
      </x:c>
      <x:c r="C17" s="11" t="str">
        <x:v>días TEC</x:v>
      </x:c>
      <x:c r="D17" s="34" t="n">
        <x:v>190</x:v>
      </x:c>
      <x:c r="E17" s="35" t="n">
        <x:f>B17*D17</x:f>
        <x:v>950</x:v>
      </x:c>
      <x:c r="F17" s="11" t="str">
        <x:v>Corrección adicional de fuente HRIS VCA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 ht="48" customHeight="1">
      <x:c r="A18" s="2" t="str">
        <x:v>RI-13</x:v>
      </x:c>
      <x:c r="B18" s="8" t="n">
        <x:v>2</x:v>
      </x:c>
      <x:c r="C18" s="11" t="str">
        <x:v>días TEC</x:v>
      </x:c>
      <x:c r="D18" s="34" t="n">
        <x:v>190</x:v>
      </x:c>
      <x:c r="E18" s="35" t="n">
        <x:f>B18*D18</x:f>
        <x:v>380</x:v>
      </x:c>
      <x:c r="F18" s="11" t="str">
        <x:v>Transferencia extraordinaria VCA; sustitución Tandem cubierta K-2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 ht="48" customHeight="1">
      <x:c r="A19" s="2" t="str">
        <x:v>RI-13</x:v>
      </x:c>
      <x:c r="B19" s="8" t="n">
        <x:v>7</x:v>
      </x:c>
      <x:c r="C19" s="11" t="str">
        <x:v>días RH</x:v>
      </x:c>
      <x:c r="D19" s="34" t="n">
        <x:v>160</x:v>
      </x:c>
      <x:c r="E19" s="35" t="n">
        <x:f>B19*D19</x:f>
        <x:v>1120</x:v>
      </x:c>
      <x:c r="F19" s="11" t="str">
        <x:v>Inducción adicional de referente VCA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 ht="48" customHeight="1">
      <x:c r="A20" s="2" t="str">
        <x:v>RI-15</x:v>
      </x:c>
      <x:c r="B20" s="8" t="n">
        <x:v>1</x:v>
      </x:c>
      <x:c r="C20" s="11" t="str">
        <x:v>extensión sandbox</x:v>
      </x:c>
      <x:c r="D20" s="34" t="n">
        <x:v>1000</x:v>
      </x:c>
      <x:c r="E20" s="35" t="n">
        <x:f>B20*D20</x:f>
        <x:v>1000</x:v>
      </x:c>
      <x:c r="F20" s="11" t="str">
        <x:v>Extensión extraordinaria de prueba de nueva versión, distinta de P-4b inicial; precio supuesto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 ht="48" customHeight="1">
      <x:c r="A21" s="2" t="str">
        <x:v>RI-16</x:v>
      </x:c>
      <x:c r="B21" s="8" t="n">
        <x:v>2</x:v>
      </x:c>
      <x:c r="C21" s="11" t="str">
        <x:v>días Compras/Legal VCA</x:v>
      </x:c>
      <x:c r="D21" s="34" t="n">
        <x:v>250</x:v>
      </x:c>
      <x:c r="E21" s="35" t="n">
        <x:f>B21*D21</x:f>
        <x:v>500</x:v>
      </x:c>
      <x:c r="F21" s="11" t="str">
        <x:v>Costo interno adicional supuesto; no PM Tandem ya incluido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48" customHeight="1">
      <x:c r="A22" s="2" t="str">
        <x:v>RI-17</x:v>
      </x:c>
      <x:c r="B22" s="8" t="n">
        <x:v>8</x:v>
      </x:c>
      <x:c r="C22" s="11" t="str">
        <x:v>días TEC</x:v>
      </x:c>
      <x:c r="D22" s="34" t="n">
        <x:v>190</x:v>
      </x:c>
      <x:c r="E22" s="35" t="n">
        <x:f>B22*D22</x:f>
        <x:v>1520</x:v>
      </x:c>
      <x:c r="F22" s="11" t="str">
        <x:v>Guardia VCA extra primera semana; no corrección de defectos K-2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48" customHeight="1">
      <x:c r="A23" s="2" t="str">
        <x:v>RI-17</x:v>
      </x:c>
      <x:c r="B23" s="8" t="n">
        <x:v>4</x:v>
      </x:c>
      <x:c r="C23" s="11" t="str">
        <x:v>días SG</x:v>
      </x:c>
      <x:c r="D23" s="34" t="n">
        <x:v>170</x:v>
      </x:c>
      <x:c r="E23" s="35" t="n">
        <x:f>B23*D23</x:f>
        <x:v>680</x:v>
      </x:c>
      <x:c r="F23" s="11" t="str">
        <x:v>Guardia VCA adicional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48" customHeight="1">
      <x:c r="A24" s="2" t="str">
        <x:v>RI-17</x:v>
      </x:c>
      <x:c r="B24" s="8" t="n">
        <x:v>5</x:v>
      </x:c>
      <x:c r="C24" s="11" t="str">
        <x:v>días RH</x:v>
      </x:c>
      <x:c r="D24" s="34" t="n">
        <x:v>160</x:v>
      </x:c>
      <x:c r="E24" s="35" t="n">
        <x:f>B24*D24</x:f>
        <x:v>800</x:v>
      </x:c>
      <x:c r="F24" s="11" t="str">
        <x:v>Guardia adicional de referentes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48" customHeight="1">
      <x:c r="A25" s="2" t="str">
        <x:v>RI-18</x:v>
      </x:c>
      <x:c r="B25" s="8" t="n">
        <x:v>1</x:v>
      </x:c>
      <x:c r="C25" s="11" t="str">
        <x:v>servicio recuperación tenant</x:v>
      </x:c>
      <x:c r="D25" s="34" t="n">
        <x:v>1000</x:v>
      </x:c>
      <x:c r="E25" s="35" t="n">
        <x:f>B25*D25</x:f>
        <x:v>1000</x:v>
      </x:c>
      <x:c r="F25" s="11" t="str">
        <x:v>Soporte externo extraordinario a VCA; no retrabajo de pipeline contratado K-2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48" customHeight="1">
      <x:c r="A26" s="2" t="str">
        <x:v>RI-19</x:v>
      </x:c>
      <x:c r="B26" s="8" t="n">
        <x:v>2</x:v>
      </x:c>
      <x:c r="C26" s="11" t="str">
        <x:v>días especialista independiente</x:v>
      </x:c>
      <x:c r="D26" s="34" t="n">
        <x:v>500</x:v>
      </x:c>
      <x:c r="E26" s="35" t="n">
        <x:f>B26*D26</x:f>
        <x:v>1000</x:v>
      </x:c>
      <x:c r="F26" s="11" t="str">
        <x:v>Evaluación adicional de alternativa de tercero; no corrección propia ni re-test K-5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24" customHeight="1">
      <x:c r="A27" s="14" t="str">
        <x:v>Total</x:v>
      </x:c>
      <x:c r="B27" s="14"/>
      <x:c r="C27" s="14"/>
      <x:c r="D27" s="22"/>
      <x:c r="E27" s="22" t="n">
        <x:f>SUM(E6:E26)</x:f>
        <x:v>22000</x:v>
      </x:c>
      <x:c r="F27" s="14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</x:row>
    <x:row r="100" ht="24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</x:row>
    <x:row r="101" ht="24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</x:row>
    <x:row r="107" ht="24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</x:row>
    <x:row r="111" ht="24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</x:row>
    <x:row r="112" ht="24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</x:row>
    <x:row r="113" ht="24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</x:row>
    <x:row r="116" ht="24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</x:row>
    <x:row r="117" ht="24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</x:row>
    <x:row r="118" ht="24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</x:row>
    <x:row r="120" ht="24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</x:row>
    <x:row r="121" ht="24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</x:row>
    <x:row r="122" ht="24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</x:row>
    <x:row r="123" ht="24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</x:row>
    <x:row r="124" ht="24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</x:row>
    <x:row r="125" ht="24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</x:row>
    <x:row r="126" ht="24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</x:row>
    <x:row r="127" ht="24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</x:row>
    <x:row r="128" ht="24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</x:row>
    <x:row r="129" ht="24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</x:row>
    <x:row r="130" ht="24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7" hidden="0" customWidth="1"/>
    <x:col min="3" max="3" width="15" hidden="0" customWidth="1"/>
    <x:col min="4" max="4" width="65" hidden="0" customWidth="1"/>
    <x:col min="5" max="5" width="9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Supuestos y fuentes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Entradas azules; fórmulas negras; vínculos verdes. Hipótesis académicas pendientes de validación.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2" customHeight="1">
      <x:c r="A5" s="6" t="str">
        <x:v>Código</x:v>
      </x:c>
      <x:c r="B5" s="6" t="str">
        <x:v>Recurso</x:v>
      </x:c>
      <x:c r="C5" s="6" t="str">
        <x:v>USD/día</x:v>
      </x:c>
      <x:c r="D5" s="6" t="str">
        <x:v>Fuente / límite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4" customHeight="1">
      <x:c r="A6" s="2" t="str">
        <x:v>PM</x:v>
      </x:c>
      <x:c r="B6" s="2" t="str">
        <x:v>Project Manager (Tandem)</x:v>
      </x:c>
      <x:c r="C6" s="9" t="n">
        <x:v>520</x:v>
      </x:c>
      <x:c r="D6" s="2" t="str">
        <x:v>N2 corregida, Recursos; tarifa supuesta, no cotización verificada.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24" customHeight="1">
      <x:c r="A7" s="2" t="str">
        <x:v>PO</x:v>
      </x:c>
      <x:c r="B7" s="2" t="str">
        <x:v>Product Owner (Tandem)</x:v>
      </x:c>
      <x:c r="C7" s="9" t="n">
        <x:v>480</x:v>
      </x:c>
      <x:c r="D7" s="2" t="str">
        <x:v>N2 corregida, Recursos; tarifa supuesta, no cotización verificada.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24" customHeight="1">
      <x:c r="A8" s="2" t="str">
        <x:v>RH</x:v>
      </x:c>
      <x:c r="B8" s="2" t="str">
        <x:v>RR.HH. VCA (S. Ibarra / referente)</x:v>
      </x:c>
      <x:c r="C8" s="9" t="n">
        <x:v>160</x:v>
      </x:c>
      <x:c r="D8" s="2" t="str">
        <x:v>N2 corregida, Recursos; tarifa supuesta, no cotización verificada.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</x:row>
    <x:row r="9" ht="24" customHeight="1">
      <x:c r="A9" s="2" t="str">
        <x:v>SG</x:v>
      </x:c>
      <x:c r="B9" s="2" t="str">
        <x:v>Servicios Generales VCA (D. Sosa)</x:v>
      </x:c>
      <x:c r="C9" s="9" t="n">
        <x:v>170</x:v>
      </x:c>
      <x:c r="D9" s="2" t="str">
        <x:v>N2 corregida, Recursos; tarifa supuesta, no cotización verificada.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 ht="24" customHeight="1">
      <x:c r="A10" s="2" t="str">
        <x:v>QA</x:v>
      </x:c>
      <x:c r="B10" s="2" t="str">
        <x:v>Especialista QA (Tandem)</x:v>
      </x:c>
      <x:c r="C10" s="9" t="n">
        <x:v>360</x:v>
      </x:c>
      <x:c r="D10" s="2" t="str">
        <x:v>N2 corregida, Recursos; tarifa supuesta, no cotización verificada.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24" customHeight="1">
      <x:c r="A11" s="2" t="str">
        <x:v>OPS</x:v>
      </x:c>
      <x:c r="B11" s="2" t="str">
        <x:v>Ingeniero/a DevOps (Tandem)</x:v>
      </x:c>
      <x:c r="C11" s="9" t="n">
        <x:v>460</x:v>
      </x:c>
      <x:c r="D11" s="2" t="str">
        <x:v>N2 corregida, Recursos; tarifa supuesta, no cotización verificada.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24" customHeight="1">
      <x:c r="A12" s="2" t="str">
        <x:v>DEV</x:v>
      </x:c>
      <x:c r="B12" s="2" t="str">
        <x:v>Desarrollador/a full-stack (Tandem)</x:v>
      </x:c>
      <x:c r="C12" s="9" t="n">
        <x:v>440</x:v>
      </x:c>
      <x:c r="D12" s="2" t="str">
        <x:v>N2 corregida, Recursos; tarifa supuesta, no cotización verificada.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24" customHeight="1">
      <x:c r="A13" s="2" t="str">
        <x:v>UX</x:v>
      </x:c>
      <x:c r="B13" s="2" t="str">
        <x:v>Diseñador/a UX/UI (Tandem)</x:v>
      </x:c>
      <x:c r="C13" s="9" t="n">
        <x:v>420</x:v>
      </x:c>
      <x:c r="D13" s="2" t="str">
        <x:v>N2 corregida, Recursos; tarifa supuesta, no cotización verificada.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24" customHeight="1">
      <x:c r="A14" s="2" t="str">
        <x:v>INT</x:v>
      </x:c>
      <x:c r="B14" s="2" t="str">
        <x:v>Ingeniero/a de integraciones (Tandem)</x:v>
      </x:c>
      <x:c r="C14" s="9" t="n">
        <x:v>480</x:v>
      </x:c>
      <x:c r="D14" s="2" t="str">
        <x:v>N2 corregida, Recursos; tarifa supuesta, no cotización verificada.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24" customHeight="1">
      <x:c r="A15" s="2" t="str">
        <x:v>TEC</x:v>
      </x:c>
      <x:c r="B15" s="2" t="str">
        <x:v>Tecnología VCA (P. Guzmán)</x:v>
      </x:c>
      <x:c r="C15" s="9" t="n">
        <x:v>190</x:v>
      </x:c>
      <x:c r="D15" s="2" t="str">
        <x:v>N2 corregida, Recursos; tarifa supuesta, no cotización verificada.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24" customHeight="1">
      <x:c r="A16" s="2" t="str">
        <x:v>CAM</x:v>
      </x:c>
      <x:c r="B16" s="2" t="str">
        <x:v>Consultor/a de gestión del cambio (Tandem)</x:v>
      </x:c>
      <x:c r="C16" s="9" t="n">
        <x:v>400</x:v>
      </x:c>
      <x:c r="D16" s="2" t="str">
        <x:v>N2 corregida, Recursos; tarifa supuesta, no cotización verificada.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24" customHeight="1">
      <x:c r="A17" s="2" t="str">
        <x:v>USR</x:v>
      </x:c>
      <x:c r="B17" s="2" t="str">
        <x:v>Usuarios de prueba UAT (VCA)</x:v>
      </x:c>
      <x:c r="C17" s="9" t="n">
        <x:v>150</x:v>
      </x:c>
      <x:c r="D17" s="2" t="str">
        <x:v>N2 corregida, Recursos; tarifa supuesta, no cotización verificada.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 ht="32" customHeight="1">
      <x:c r="A20" s="6" t="str">
        <x:v>Clase</x:v>
      </x:c>
      <x:c r="B20" s="6" t="str">
        <x:v>Hipótesis</x:v>
      </x:c>
      <x:c r="C20" s="6" t="str">
        <x:v>Factor O</x:v>
      </x:c>
      <x:c r="D20" s="6" t="str">
        <x:v>Factor P</x:v>
      </x:c>
      <x:c r="E20" s="6" t="str">
        <x:v>Escenario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 ht="64" customHeight="1">
      <x:c r="A21" s="2" t="str">
        <x:v>A</x:v>
      </x:c>
      <x:c r="B21" s="2" t="str">
        <x:v>Gestión y validación acotada</x:v>
      </x:c>
      <x:c r="C21" s="10" t="n">
        <x:v>0.9</x:v>
      </x:c>
      <x:c r="D21" s="10" t="n">
        <x:v>1.1</x:v>
      </x:c>
      <x:c r="E21" s="11" t="str">
        <x:v>O: documentación disponible y una ronda; M: dedicación N2; P: ronda adicional de revisión. Rango técnico ±10 % de mano de obra.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64" customHeight="1">
      <x:c r="A22" s="2" t="str">
        <x:v>B</x:v>
      </x:c>
      <x:c r="B22" s="2" t="str">
        <x:v>Configuración y adopción</x:v>
      </x:c>
      <x:c r="C22" s="10" t="n">
        <x:v>0.85</x:v>
      </x:c>
      <x:c r="D22" s="10" t="n">
        <x:v>1.3</x:v>
      </x:c>
      <x:c r="E22" s="11" t="str">
        <x:v>O: reglas, planos y materiales reutilizables; M: configuración prevista; P: ajustes de interfaces o materiales dentro del alcance. Mano de obra -15 % / +30 %.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64" customHeight="1">
      <x:c r="A23" s="2" t="str">
        <x:v>C</x:v>
      </x:c>
      <x:c r="B23" s="2" t="str">
        <x:v>Integración y verificación compleja</x:v>
      </x:c>
      <x:c r="C23" s="10" t="n">
        <x:v>0.8</x:v>
      </x:c>
      <x:c r="D23" s="10" t="n">
        <x:v>1.4</x:v>
      </x:c>
      <x:c r="E23" s="11" t="str">
        <x:v>O: contratos API y datos válidos al primer ensayo; M: pruebas planificadas; P: diagnóstico y una iteración adicional, sin cambiar alcance. Mano de obra -20 % / +40 %.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32" customHeight="1">
      <x:c r="A26" s="6" t="str">
        <x:v>Parámetro</x:v>
      </x:c>
      <x:c r="B26" s="6" t="str">
        <x:v>Valor</x:v>
      </x:c>
      <x:c r="C26" s="6" t="str">
        <x:v>Fuente / explicación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24" customHeight="1">
      <x:c r="A27" s="2" t="str">
        <x:v>Reserva gestión</x:v>
      </x:c>
      <x:c r="B27" s="10" t="n">
        <x:v>0.04</x:v>
      </x:c>
      <x:c r="C27" s="2" t="str">
        <x:v>N2 corregida, PDF p.9; fuera de línea base.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24" customHeight="1">
      <x:c r="A28" s="2" t="str">
        <x:v>Techo Acta</x:v>
      </x:c>
      <x:c r="B28" s="9" t="n">
        <x:v>420000</x:v>
      </x:c>
      <x:c r="C28" s="2" t="str">
        <x:v>N1/N3; margen no asignado no es reserva.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24" customHeight="1">
      <x:c r="A29" s="2" t="str">
        <x:v>BAC criterio</x:v>
      </x:c>
      <x:c r="B29" s="2" t="str">
        <x:v>M</x:v>
      </x:c>
      <x:c r="C29" s="2" t="str">
        <x:v>DPI5 p.11 conserva M; PERT contraste técnico, K-2 precio fijo.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24" customHeight="1">
      <x:c r="A30" s="2" t="str">
        <x:v>Día-persona</x:v>
      </x:c>
      <x:c r="B30" s="2" t="n">
        <x:v>8</x:v>
      </x:c>
      <x:c r="C30" s="2" t="str">
        <x:v>Horas por día; duración en días hábiles ≠ esfuerzo.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24" customHeight="1">
      <x:c r="A31" s="2" t="str">
        <x:v>Moneda</x:v>
      </x:c>
      <x:c r="B31" s="2" t="str">
        <x:v>USD nominal</x:v>
      </x:c>
      <x:c r="C31" s="2" t="str">
        <x:v>Sin inflación, impuestos ni FX adicionales; hipótesis pendiente de contrato.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4" customHeight="1">
      <x:c r="A32" s="2" t="str">
        <x:v>Calendario</x:v>
      </x:c>
      <x:c r="B32" s="2" t="str">
        <x:v>N2 corregida</x:v>
      </x:c>
      <x:c r="C32" s="2" t="str">
        <x:v>Fechas/ponderaciones congeladas del calendario N2; no es motor de reprogramación.</x:v>
      </x:c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4" customHeight="1">
      <x:c r="A33" s="2" t="str">
        <x:v>Estado</x:v>
      </x:c>
      <x:c r="B33" s="2" t="str">
        <x:v>Plan académico</x:v>
      </x:c>
      <x:c r="C33" s="2" t="str">
        <x:v>Sin evidencia de contratos firmados, gastos reales, avance o consultas efectivamente realizadas.</x:v>
      </x:c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32" customHeight="1">
      <x:c r="A36" s="6" t="str">
        <x:v>Tema</x:v>
      </x:c>
      <x:c r="B36" s="6" t="str">
        <x:v>Fuente y límite</x:v>
      </x:c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60" customHeight="1">
      <x:c r="A37" s="11" t="str">
        <x:v>Costos y trazabilidad</x:v>
      </x:c>
      <x:c r="B37" s="11" t="str">
        <x:v>submissions/submission_2/corrected_review/Grupo 1_Entrega N2.pdf pp.7-9 y Excel original.</x:v>
      </x:c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60" customHeight="1">
      <x:c r="A38" s="11" t="str">
        <x:v>Continuidad</x:v>
      </x:c>
      <x:c r="B38" s="11" t="str">
        <x:v>submissions/submission_3/revisions/revision_2/Grupo 1_Entrega N3.pdf pp.2-4,12-13. Excel N3 original no presumido actualizado.</x:v>
      </x:c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60" customHeight="1">
      <x:c r="A39" s="11" t="str">
        <x:v>Estimación/reservas</x:v>
      </x:c>
      <x:c r="B39" s="11" t="str">
        <x:v>DPI5 pp.10-11,16-18,20-22. Se retiene M como ejemplo p.11.</x:v>
      </x:c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60" customHeight="1">
      <x:c r="A40" s="11" t="str">
        <x:v>EVM</x:v>
      </x:c>
      <x:c r="B40" s="11" t="str">
        <x:v>DPI6 pp.10-17,20-23. BAC operativo excluye reservas, reconciliado con línea base.</x:v>
      </x:c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60" customHeight="1">
      <x:c r="A41" s="11" t="str">
        <x:v>Juicio experto</x:v>
      </x:c>
      <x:c r="B41" s="11" t="str">
        <x:v>DPI11 pp.4-5,14. Consultas propuestas, no realizadas.</x:v>
      </x:c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60" customHeight="1">
      <x:c r="A42" s="11" t="str">
        <x:v>Riesgos/calidad</x:v>
      </x:c>
      <x:c r="B42" s="11" t="str">
        <x:v>GDP complementario Incertidumbre pp.10-21; Entrega/Calidad pp.3-6. Numeración independiente.</x:v>
      </x:c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 ht="60" customHeight="1">
      <x:c r="A43" s="11" t="str">
        <x:v>ISO/IEC 25010:2023 ed.2</x:v>
      </x:c>
      <x:c r="B43" s="11" t="str">
        <x:v>https://www.iso.org/standard/78176.html ; ficha pública consultada27/10/2026, sin cláusulas íntegras ni certificación.</x:v>
      </x:c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 ht="60" customHeight="1">
      <x:c r="A44" s="11" t="str">
        <x:v>OWASP ASVS 5.0.0</x:v>
      </x:c>
      <x:c r="B44" s="11" t="str">
        <x:v>https://asvs.owasp.org/ ; publicación 30/05/2025, consulta 27/10/2026. Marco general, sin afirmar nivel completo.</x:v>
      </x:c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 ht="60" customHeight="1">
      <x:c r="A45" s="11" t="str">
        <x:v>ASVS autorización V8</x:v>
      </x:c>
      <x:c r="B45" s="11" t="str">
        <x:v>https://raw.githubusercontent.com/OWASP/ASVS/v5.0.0/5.0/en/0x17-V8-Authorization.md ; controles v5.0.0-8.1.1,8.2.1,8.2.2,8.3.1 verificados.</x:v>
      </x:c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  <x:row r="46" ht="60" customHeight="1">
      <x:c r="A46" s="11" t="str">
        <x:v>Costos no laborales</x:v>
      </x:c>
      <x:c r="B46" s="11" t="str">
        <x:v>Cantidades/precios N2 como hipótesis de contrato; P-1 proviene de N1, sin cotización comercial adjunta comprobada.</x:v>
      </x:c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</x:row>
    <x:row r="47" ht="60" customHeight="1">
      <x:c r="A47" s="11" t="str">
        <x:v>Devengo revisado</x:v>
      </x:c>
      <x:c r="B47" s="11" t="str">
        <x:v>P-4b desde 30/10 conforme N3; P-3c logística30 sesiones después balances/UAT,22-30/03. Referentes replican: validar disponibilidad.</x:v>
      </x:c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</x:row>
    <x:row r="48" ht="60" customHeight="1">
      <x:c r="A48" s="11" t="str">
        <x:v>Calendario de riesgos</x:v>
      </x:c>
      <x:c r="B48" s="11" t="str">
        <x:v>Acciones con fecha anterior27/10 son plan base, no evidencia de ejecución. Estado: identificado/plan propuesto.</x:v>
      </x:c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 ht="60" customHeight="1">
      <x:c r="A49" s="11" t="str">
        <x:v>No doble conteo</x:v>
      </x:c>
      <x:c r="B49" s="11" t="str">
        <x:v>M incluye prevención/pruebas/retrabajo fijo K-2. Reserva solo incrementosVCA ante disparador. PERT no se suma a M ni a contingencia.</x:v>
      </x:c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</x:row>
    <x:row r="100" ht="24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</x:row>
    <x:row r="101" ht="24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</x:row>
    <x:row r="107" ht="24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</x:row>
    <x:row r="111" ht="24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</x:row>
    <x:row r="112" ht="24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</x:row>
    <x:row r="113" ht="24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</x:row>
    <x:row r="116" ht="24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</x:row>
    <x:row r="117" ht="24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</x:row>
    <x:row r="118" ht="24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</x:row>
    <x:row r="120" ht="24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</x:row>
    <x:row r="121" ht="24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</x:row>
    <x:row r="122" ht="24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</x:row>
    <x:row r="123" ht="24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</x:row>
    <x:row r="124" ht="24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</x:row>
    <x:row r="125" ht="24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</x:row>
    <x:row r="126" ht="24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</x:row>
    <x:row r="127" ht="24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</x:row>
    <x:row r="128" ht="24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</x:row>
    <x:row r="129" ht="24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</x:row>
    <x:row r="130" ht="24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</x:row>
  </x:sheetData>
  <x:pageMargins left="0.7" right="0.7" top="0.75" bottom="0.75" header="0.3" footer="0.3"/>
</x:worksheet>
</file>