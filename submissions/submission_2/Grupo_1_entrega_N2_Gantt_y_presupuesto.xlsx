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arámetros" sheetId="2" state="visible" r:id="rId4"/>
    <sheet name="Cronograma" sheetId="3" state="visible" r:id="rId5"/>
    <sheet name="Presupuesto" sheetId="4" state="visible" r:id="rId6"/>
    <sheet name="Curva S" sheetId="5" state="visible" r:id="rId7"/>
  </sheets>
  <definedNames>
    <definedName function="false" hidden="false" name="BalFin" vbProcedure="false">Parámetros!$B$6</definedName>
    <definedName function="false" hidden="false" name="BalIni" vbProcedure="false">Parámetros!$B$5</definedName>
    <definedName function="false" hidden="false" name="Feriados" vbProcedure="false">Parámetros!$A$17:$A$28</definedName>
    <definedName function="false" hidden="false" name="InicioProyecto" vbProcedure="false">Parámetros!$B$4</definedName>
    <definedName function="false" hidden="false" name="Solapes" vbProcedure="false">Parámetros!$B$10</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37" authorId="0">
      <text>
        <r>
          <rPr>
            <sz val="10"/>
            <rFont val="Arial"/>
            <family val="2"/>
          </rPr>
          <t xml:space="preserve">Pago a la firma (H-0). Supuesto de facturación a validar con Tandem.</t>
        </r>
      </text>
    </comment>
    <comment ref="A38" authorId="0">
      <text>
        <r>
          <rPr>
            <sz val="10"/>
            <rFont val="Arial"/>
            <family val="2"/>
          </rPr>
          <t xml:space="preserve">Supuesto S-10 (propuesto): se distribuye desde el inicio de 5.1 hasta el fin de 5.4.</t>
        </r>
      </text>
    </comment>
    <comment ref="A39" authorId="0">
      <text>
        <r>
          <rPr>
            <sz val="10"/>
            <rFont val="Arial"/>
            <family val="2"/>
          </rPr>
          <t xml:space="preserve">Supuesto S-10 (propuesto): acompaña a las tareas 4.3 a 4.5.</t>
        </r>
      </text>
    </comment>
    <comment ref="A40" authorId="0">
      <text>
        <r>
          <rPr>
            <sz val="10"/>
            <rFont val="Arial"/>
            <family val="2"/>
          </rPr>
          <t xml:space="preserve">Supuesto S-10 (propuesto): acompaña a las tareas 3.1 a 3.5.</t>
        </r>
      </text>
    </comment>
    <comment ref="C46" authorId="0">
      <text>
        <r>
          <rPr>
            <sz val="10"/>
            <rFont val="Arial"/>
            <family val="2"/>
          </rPr>
          <t xml:space="preserve">168.000 (equipo Tandem, 28 persona-mes) + 16.000 (horas del equipo interno de VCA). Fuente: Anexo A, N1.</t>
        </r>
      </text>
    </comment>
  </commentList>
</comments>
</file>

<file path=xl/sharedStrings.xml><?xml version="1.0" encoding="utf-8"?>
<sst xmlns="http://schemas.openxmlformats.org/spreadsheetml/2006/main" count="412" uniqueCount="287">
  <si>
    <t xml:space="preserve">WKH-2026 — Entrega N2: Gantt y presupuesto preliminar</t>
  </si>
  <si>
    <t xml:space="preserve">Plataforma de Reserva de Espacios de Trabajo WorkHub · Grupo 1 · Planificación integrada de plazos, costos y línea base.</t>
  </si>
  <si>
    <t xml:space="preserve">Resultados clave</t>
  </si>
  <si>
    <t xml:space="preserve">Inicio del proyecto</t>
  </si>
  <si>
    <t xml:space="preserve">Fin del proyecto (plan)</t>
  </si>
  <si>
    <t xml:space="preserve">Duración total (días hábiles)</t>
  </si>
  <si>
    <t xml:space="preserve">Fin del trabajo previo al UAT (desarrollo, integraciones, piloto, capacitación)</t>
  </si>
  <si>
    <t xml:space="preserve">Inicio del UAT (5.3)</t>
  </si>
  <si>
    <t xml:space="preserve">Colchón entre el fin del desarrollo y el UAT (días hábiles)</t>
  </si>
  <si>
    <t xml:space="preserve">Hitos del Acta cumplidos en el plan</t>
  </si>
  <si>
    <t xml:space="preserve">Costo base de actividades (USD)</t>
  </si>
  <si>
    <t xml:space="preserve">Línea base de costos (USD)</t>
  </si>
  <si>
    <t xml:space="preserve">Presupuesto del proyecto con reserva de gestión (USD)</t>
  </si>
  <si>
    <t xml:space="preserve">Qué contiene cada hoja</t>
  </si>
  <si>
    <t xml:space="preserve">Parámetros</t>
  </si>
  <si>
    <t xml:space="preserve">Fecha de inicio, ventana de balances, reservas, feriados y parámetros de solape de la cola.</t>
  </si>
  <si>
    <t xml:space="preserve">Cronograma</t>
  </si>
  <si>
    <t xml:space="preserve">Gantt calendarizado (31 filas), verificación de los hitos H-0 a H-7 del Acta y la ventana de balances.</t>
  </si>
  <si>
    <t xml:space="preserve">Presupuesto</t>
  </si>
  <si>
    <t xml:space="preserve">Costo por tarea y partidas no laborales, distribución mensual y conciliación con el Anexo A.</t>
  </si>
  <si>
    <t xml:space="preserve">Curva S</t>
  </si>
  <si>
    <t xml:space="preserve">Línea base de costos acumulada por mes, con sus dos gráficos.</t>
  </si>
  <si>
    <t xml:space="preserve">Decisiones y supuestos aplicados</t>
  </si>
  <si>
    <t xml:space="preserve">1. Calendario lunes a viernes sin feriados nacionales. Los feriados 2026-2027 están cargados a mano en Parámetros y deben validarse.</t>
  </si>
  <si>
    <t xml:space="preserve">2. La ventana de balances (01/01 al 15/03) se aplica solo al Gantt, no al diagrama de red (decisión del equipo): el UAT (5.3) no empieza antes del 16/03/2027 y el go-live (5.4) comienza el 31/03/2027 (H-6).</t>
  </si>
  <si>
    <t xml:space="preserve">3. El camino crítico coloreado es el de la red lógica (AON). Las restricciones de calendario generan el colchón de la fila 10 entre el fin del desarrollo y el UAT; no es holgura de la red.</t>
  </si>
  <si>
    <t xml:space="preserve">4. Cola con solapes (fast-tracking), tomando los rótulos del diagrama de red: 5.5 y 5.6 terminan 2 días hábiles después del fin de 5.4 (FF+2) y 1.6 termina junto con ellas (FF+0); además 3.5 empieza 10 días hábiles después del inicio de 2.6 (SS+10). Con la celda "Aplicar solapes" en 0 el cierre se corre más allá del 30/04/2027.</t>
  </si>
  <si>
    <t xml:space="preserve">5. Predecesoras corregidas respecto de la lista anterior: 5.1 precede a 5.2 y 5.2 precede a 5.3.</t>
  </si>
  <si>
    <t xml:space="preserve">6. Costos: las tareas valorizan solo mano de obra (lista de N2). La licencia WorkHub (USD 108.000) es una partida aparte, fechada a la firma. Los USD 28.000 que faltaban para llegar a USD 398.000 se asignan como tres partidas no laborales (13.000, 11.000 y 4.000), a documentar como supuesto S-10 en el Anexo E.</t>
  </si>
  <si>
    <t xml:space="preserve">7. Conciliación con la inversión de N1 (sección 4.3, reproducida en el Anexo A): cierra en USD 398.000 de costo base y USD 420.000 de línea base (inversión total de N1, con la contingencia incluida). La N2 agrega, conforme al PMBOK 7, una reserva de gestión de USD 16.800 fuera de la línea base: presupuesto del proyecto USD 436.800. Quedan dos diferencias de USD 450 que se compensan entre Equipo Tandem + VCA e Integraciones.</t>
  </si>
  <si>
    <t xml:space="preserve">8. Distribución de costos: lineal por día hábil entre el inicio y el fin de cada tarea. La contingencia se prorratea según el gasto mensual solo para dibujar la curva S.</t>
  </si>
  <si>
    <t xml:space="preserve">9. Gestión del cambio: 4.1, 4.2, 4.4 y 4.5 se ejecutan en los meses 1 a 3 con la dedicación de 0,5 FTE de RR.HH. (R-6 de N1) y el apoyo del presupuesto de gestión del cambio. 4.3 (comunicación y campaña de lanzamiento) se programa no antes del 01/03/2027, con el referente de RR.HH. de jornada completa (meses 4 a 7, S-7); la comunicación no está restringida por R-3.</t>
  </si>
  <si>
    <t xml:space="preserve">Pendientes de decisión</t>
  </si>
  <si>
    <t xml:space="preserve">• Hitos con desvío entre el plan y el Acta (ver Cronograma, bloque de hitos): mover las fechas del Acta o comprimir tareas.</t>
  </si>
  <si>
    <t xml:space="preserve">• Validar los montos de las partidas P-2, P-3 y P-4 y la fecha de pago de la licencia con Tandem.</t>
  </si>
  <si>
    <t xml:space="preserve">• Validar la lista de feriados contra el calendario oficial.</t>
  </si>
  <si>
    <t xml:space="preserve">Parámetros del modelo — WKH-2026</t>
  </si>
  <si>
    <t xml:space="preserve">Celdas en azul = entradas editables. Todo el modelo (Cronograma, Presupuesto, Curva S) se recalcula desde acá.</t>
  </si>
  <si>
    <t xml:space="preserve">Parámetro</t>
  </si>
  <si>
    <t xml:space="preserve">Valor</t>
  </si>
  <si>
    <t xml:space="preserve">Fuente / nota</t>
  </si>
  <si>
    <t xml:space="preserve">Inicio del proyecto (H-0, firma del Acta)</t>
  </si>
  <si>
    <t xml:space="preserve">Acta de constitución, hito H-0 (N1).</t>
  </si>
  <si>
    <t xml:space="preserve">Ventana de cierre de balances de VCA — desde</t>
  </si>
  <si>
    <t xml:space="preserve">Restricción 2.7 de N1: sin despliegue masivo ni capacitación.</t>
  </si>
  <si>
    <t xml:space="preserve">Ventana de cierre de balances de VCA — hasta</t>
  </si>
  <si>
    <t xml:space="preserve">Ídem. RI-5 reserva la ventana operativa desde el 16/03.</t>
  </si>
  <si>
    <t xml:space="preserve">Reserva para contingencias (USD)</t>
  </si>
  <si>
    <t xml:space="preserve">Sección 4.3 de N1, reproducida en el Anexo A (5,5 % del costo base de USD 398.000).</t>
  </si>
  <si>
    <t xml:space="preserve">Reserva de gestión (% sobre la línea base)</t>
  </si>
  <si>
    <t xml:space="preserve">Agregada en N2 conforme al PMBOK 7 (la N1 no la definía). Queda fuera de la línea base; la libera el Comité mediante solicitud de cambio.</t>
  </si>
  <si>
    <t xml:space="preserve">Tolerancia de control (±)</t>
  </si>
  <si>
    <t xml:space="preserve">Acta de constitución (N1), objetivo OP-1 y restricción R-1: banda de USD 378.000 a USD 462.000.</t>
  </si>
  <si>
    <t xml:space="preserve">Aplicar solapes en la cola del proyecto (1 = sí, 0 = no)</t>
  </si>
  <si>
    <t xml:space="preserve">Fast-tracking de 5.5, 5.6 y 1.6 (ver Resumen). Con 0 todas las relaciones de la cola son Final-Inicio.</t>
  </si>
  <si>
    <t xml:space="preserve">Solape 3.5: inicio a N días hábiles del inicio de 2.6 (SS)</t>
  </si>
  <si>
    <t xml:space="preserve">Rótulo "SS+10" del diagrama de red (2.6 → 3.5).</t>
  </si>
  <si>
    <t xml:space="preserve">Solape 5.5 y 5.6: fin N días hábiles después del fin de 5.4 (FF)</t>
  </si>
  <si>
    <t xml:space="preserve">Rótulo "FF+2" del diagrama de red.</t>
  </si>
  <si>
    <t xml:space="preserve">Solape 1.6: fin N días hábiles después del fin de 5.5 y 5.6 (FF)</t>
  </si>
  <si>
    <t xml:space="preserve">Supuesto nuevo: el cierre administrativo termina junto con 5.5 y 5.6.</t>
  </si>
  <si>
    <t xml:space="preserve">Feriados y días no laborables (excluidos del calendario)</t>
  </si>
  <si>
    <t xml:space="preserve">Fecha</t>
  </si>
  <si>
    <t xml:space="preserve">Descripción</t>
  </si>
  <si>
    <t xml:space="preserve">Día del Respeto a la Diversidad Cultural</t>
  </si>
  <si>
    <t xml:space="preserve">Día de la Soberanía Nacional (trasladado)</t>
  </si>
  <si>
    <t xml:space="preserve">Día no laborable con fines turísticos (puente)</t>
  </si>
  <si>
    <t xml:space="preserve">Inmaculada Concepción de María</t>
  </si>
  <si>
    <t xml:space="preserve">Navidad</t>
  </si>
  <si>
    <t xml:space="preserve">Año Nuevo</t>
  </si>
  <si>
    <t xml:space="preserve">Carnaval</t>
  </si>
  <si>
    <t xml:space="preserve">Día de la Memoria</t>
  </si>
  <si>
    <t xml:space="preserve">Jueves Santo (no laborable)</t>
  </si>
  <si>
    <t xml:space="preserve">Viernes Santo</t>
  </si>
  <si>
    <t xml:space="preserve">Día del Veterano y de los Caídos en Malvinas</t>
  </si>
  <si>
    <t xml:space="preserve">Supuesto: los feriados y traslados 2026-2027 se cargaron de forma manual y deben validarse contra el calendario oficial (decretos de traslados y puentes). Para agregar uno, insertar una fila dentro del rango.</t>
  </si>
  <si>
    <t xml:space="preserve">WKH-2026 — Cronograma (diagrama de Gantt)</t>
  </si>
  <si>
    <t xml:space="preserve">Calendario lunes a viernes sin feriados (hoja Parámetros). Duraciones en días hábiles. Azul = entrada; negro = fórmula.</t>
  </si>
  <si>
    <t xml:space="preserve">Ventana de balances desde</t>
  </si>
  <si>
    <t xml:space="preserve">Ventana de balances hasta</t>
  </si>
  <si>
    <t xml:space="preserve">Camino crítico (AON)</t>
  </si>
  <si>
    <t xml:space="preserve">Tarea con holgura</t>
  </si>
  <si>
    <t xml:space="preserve">Tarea resumen</t>
  </si>
  <si>
    <t xml:space="preserve">Ventana de balances</t>
  </si>
  <si>
    <t xml:space="preserve">Restricción R-1</t>
  </si>
  <si>
    <t xml:space="preserve">◆ plan  ◇ Acta</t>
  </si>
  <si>
    <t xml:space="preserve">ID</t>
  </si>
  <si>
    <t xml:space="preserve">Tarea</t>
  </si>
  <si>
    <t xml:space="preserve">Responsable</t>
  </si>
  <si>
    <t xml:space="preserve">Dur. (d háb.)</t>
  </si>
  <si>
    <t xml:space="preserve">Predecesoras (lógica N2)</t>
  </si>
  <si>
    <t xml:space="preserve">Inicio no antes de</t>
  </si>
  <si>
    <t xml:space="preserve">Inicio</t>
  </si>
  <si>
    <t xml:space="preserve">Fin</t>
  </si>
  <si>
    <t xml:space="preserve">Crít. AON</t>
  </si>
  <si>
    <t xml:space="preserve">Chequeo ventana</t>
  </si>
  <si>
    <t xml:space="preserve">1.5</t>
  </si>
  <si>
    <t xml:space="preserve">Seguimiento, cambios e informes (tarea resumen)</t>
  </si>
  <si>
    <t xml:space="preserve">PM</t>
  </si>
  <si>
    <t xml:space="preserve">1.2, 1.3, 1.4 (hasta el cierre)</t>
  </si>
  <si>
    <t xml:space="preserve">1.1</t>
  </si>
  <si>
    <t xml:space="preserve">Acta de constitución</t>
  </si>
  <si>
    <t xml:space="preserve">—</t>
  </si>
  <si>
    <t xml:space="preserve">Sí</t>
  </si>
  <si>
    <t xml:space="preserve">1.2</t>
  </si>
  <si>
    <t xml:space="preserve">Declaración del alcance y EDT</t>
  </si>
  <si>
    <t xml:space="preserve">1.3</t>
  </si>
  <si>
    <t xml:space="preserve">Cronograma, presupuesto y línea base</t>
  </si>
  <si>
    <t xml:space="preserve">1.4</t>
  </si>
  <si>
    <t xml:space="preserve">Registro de riesgos e interesados</t>
  </si>
  <si>
    <t xml:space="preserve">1.6</t>
  </si>
  <si>
    <t xml:space="preserve">Cierre y lecciones aprendidas</t>
  </si>
  <si>
    <t xml:space="preserve">5.5, 5.6 (FF+0)</t>
  </si>
  <si>
    <t xml:space="preserve">2.1</t>
  </si>
  <si>
    <t xml:space="preserve">Relevamiento y reglas de negocio</t>
  </si>
  <si>
    <t xml:space="preserve">Product Owner</t>
  </si>
  <si>
    <t xml:space="preserve">2.2</t>
  </si>
  <si>
    <t xml:space="preserve">Planos e inventario de espacios</t>
  </si>
  <si>
    <t xml:space="preserve">Damián Sosa (SG, VCA)</t>
  </si>
  <si>
    <t xml:space="preserve">2.3</t>
  </si>
  <si>
    <t xml:space="preserve">Módulo de reserva de escritorios</t>
  </si>
  <si>
    <t xml:space="preserve">Equipo Frontend</t>
  </si>
  <si>
    <t xml:space="preserve">2.4</t>
  </si>
  <si>
    <t xml:space="preserve">Módulo de reserva de salas</t>
  </si>
  <si>
    <t xml:space="preserve">2.5</t>
  </si>
  <si>
    <t xml:space="preserve">Check-in, check-out y liberación</t>
  </si>
  <si>
    <t xml:space="preserve">Equipo Backend</t>
  </si>
  <si>
    <t xml:space="preserve">2.6</t>
  </si>
  <si>
    <t xml:space="preserve">Notificaciones y sugerencias</t>
  </si>
  <si>
    <t xml:space="preserve">2.5, 3.2</t>
  </si>
  <si>
    <t xml:space="preserve">2.7</t>
  </si>
  <si>
    <t xml:space="preserve">Diseño UX</t>
  </si>
  <si>
    <t xml:space="preserve">Diseñador/a UX/UI</t>
  </si>
  <si>
    <t xml:space="preserve">2.8</t>
  </si>
  <si>
    <t xml:space="preserve">Implementación bot de Teams</t>
  </si>
  <si>
    <t xml:space="preserve">2.7, 3.3</t>
  </si>
  <si>
    <t xml:space="preserve">2.9</t>
  </si>
  <si>
    <t xml:space="preserve">Configuración web</t>
  </si>
  <si>
    <t xml:space="preserve">2.5, 2.6, 2.7</t>
  </si>
  <si>
    <t xml:space="preserve">3.1</t>
  </si>
  <si>
    <t xml:space="preserve">SSO y SCIM con Entra ID</t>
  </si>
  <si>
    <t xml:space="preserve">Equipo Backend y Tecnología VCA</t>
  </si>
  <si>
    <t xml:space="preserve">3.2</t>
  </si>
  <si>
    <t xml:space="preserve">Sincronización con HRIS</t>
  </si>
  <si>
    <t xml:space="preserve">3.3</t>
  </si>
  <si>
    <t xml:space="preserve">Exchange, Outlook y Teams</t>
  </si>
  <si>
    <t xml:space="preserve">3.4</t>
  </si>
  <si>
    <t xml:space="preserve">Seguridad y endurecimiento</t>
  </si>
  <si>
    <t xml:space="preserve">Especialista QA</t>
  </si>
  <si>
    <t xml:space="preserve">3.2, 3.3</t>
  </si>
  <si>
    <t xml:space="preserve">3.5</t>
  </si>
  <si>
    <t xml:space="preserve">Pruebas de integración y carga</t>
  </si>
  <si>
    <t xml:space="preserve">3.4 (FS), 2.6 (SS+10)</t>
  </si>
  <si>
    <t xml:space="preserve">4.1</t>
  </si>
  <si>
    <t xml:space="preserve">Impacto e interesados con RR.HH.</t>
  </si>
  <si>
    <t xml:space="preserve">Soledad Ibarra (RR.HH., VCA)</t>
  </si>
  <si>
    <t xml:space="preserve">4.2</t>
  </si>
  <si>
    <t xml:space="preserve">Política de trabajo flexible</t>
  </si>
  <si>
    <t xml:space="preserve">4.3</t>
  </si>
  <si>
    <t xml:space="preserve">Comunicación y lanzamiento</t>
  </si>
  <si>
    <t xml:space="preserve">OK (comunicación)</t>
  </si>
  <si>
    <t xml:space="preserve">4.4</t>
  </si>
  <si>
    <t xml:space="preserve">Referentes y capacitación</t>
  </si>
  <si>
    <t xml:space="preserve">4.5</t>
  </si>
  <si>
    <t xml:space="preserve">Materiales y mesa de ayuda N1</t>
  </si>
  <si>
    <t xml:space="preserve">5.1</t>
  </si>
  <si>
    <t xml:space="preserve">Ambientes, migración y despliegue</t>
  </si>
  <si>
    <t xml:space="preserve">Equipo Backend/Infra</t>
  </si>
  <si>
    <t xml:space="preserve">5.2</t>
  </si>
  <si>
    <t xml:space="preserve">Piloto y ajustes</t>
  </si>
  <si>
    <t xml:space="preserve">Carolina Méndez (PO)</t>
  </si>
  <si>
    <t xml:space="preserve">2.2, 2.3, 2.4, 2.7, 3.1, 4.2, 5.1</t>
  </si>
  <si>
    <t xml:space="preserve">5.3</t>
  </si>
  <si>
    <t xml:space="preserve">UAT y acta de aceptación</t>
  </si>
  <si>
    <t xml:space="preserve">Especialista QA y Carolina Méndez (PO)</t>
  </si>
  <si>
    <t xml:space="preserve">2.6, 2.8, 2.9, 3.5, 4.5, 5.2</t>
  </si>
  <si>
    <t xml:space="preserve">5.4</t>
  </si>
  <si>
    <t xml:space="preserve">Go-live y estabilización (4 semanas)</t>
  </si>
  <si>
    <t xml:space="preserve">PM + equipo completo</t>
  </si>
  <si>
    <t xml:space="preserve">5.3, 4.3</t>
  </si>
  <si>
    <t xml:space="preserve">5.5</t>
  </si>
  <si>
    <t xml:space="preserve">Tablero y transferencia del seguimiento</t>
  </si>
  <si>
    <t xml:space="preserve">Carolina Méndez (PO) + VCA</t>
  </si>
  <si>
    <t xml:space="preserve">5.4 (FF+2)</t>
  </si>
  <si>
    <t xml:space="preserve">5.6</t>
  </si>
  <si>
    <t xml:space="preserve">Informe de ocupación y recomendación</t>
  </si>
  <si>
    <t xml:space="preserve">Servicios Generales, VCA</t>
  </si>
  <si>
    <t xml:space="preserve">Hitos del Acta (N1): fecha plan vs fecha del Acta</t>
  </si>
  <si>
    <t xml:space="preserve">Tarea que lo determina</t>
  </si>
  <si>
    <t xml:space="preserve">Criterio</t>
  </si>
  <si>
    <t xml:space="preserve">Fecha Acta</t>
  </si>
  <si>
    <t xml:space="preserve">Fecha plan</t>
  </si>
  <si>
    <t xml:space="preserve">Estado</t>
  </si>
  <si>
    <t xml:space="preserve">Δ días corridos</t>
  </si>
  <si>
    <t xml:space="preserve">H-0</t>
  </si>
  <si>
    <t xml:space="preserve">Kick-off y firma del Acta</t>
  </si>
  <si>
    <t xml:space="preserve">Inicio de 1.1</t>
  </si>
  <si>
    <t xml:space="preserve">H-1</t>
  </si>
  <si>
    <t xml:space="preserve">Alcance y EDT ratificados; línea base confirmada</t>
  </si>
  <si>
    <t xml:space="preserve">1.2, 1.3</t>
  </si>
  <si>
    <t xml:space="preserve">Fin de 1.2 y 1.3</t>
  </si>
  <si>
    <t xml:space="preserve">H-2</t>
  </si>
  <si>
    <t xml:space="preserve">Diseño UX/UI y reglas validados; inventario cargado</t>
  </si>
  <si>
    <t xml:space="preserve">2.1, 2.2, 2.7</t>
  </si>
  <si>
    <t xml:space="preserve">Fin de 2.1, 2.2 y 2.7</t>
  </si>
  <si>
    <t xml:space="preserve">H-3</t>
  </si>
  <si>
    <t xml:space="preserve">Piloto de la planta 3 completado</t>
  </si>
  <si>
    <t xml:space="preserve">Fin de 5.2</t>
  </si>
  <si>
    <t xml:space="preserve">H-4</t>
  </si>
  <si>
    <t xml:space="preserve">Notificaciones completas; pruebas de seguridad, integración y carga</t>
  </si>
  <si>
    <t xml:space="preserve">2.6, 3.4, 3.5</t>
  </si>
  <si>
    <t xml:space="preserve">Fin de 2.6, 3.4 y 3.5</t>
  </si>
  <si>
    <t xml:space="preserve">H-5</t>
  </si>
  <si>
    <t xml:space="preserve">UAT ≥ 9,0/10 y acta de aceptación</t>
  </si>
  <si>
    <t xml:space="preserve">Fin de 5.3</t>
  </si>
  <si>
    <t xml:space="preserve">H-6</t>
  </si>
  <si>
    <t xml:space="preserve">Puesta en producción en las cuatro plantas</t>
  </si>
  <si>
    <t xml:space="preserve">Inicio de 5.4</t>
  </si>
  <si>
    <t xml:space="preserve">H-7</t>
  </si>
  <si>
    <t xml:space="preserve">Cierre, estabilización, tablero e informe entregados</t>
  </si>
  <si>
    <t xml:space="preserve">5.4, 5.5, 5.6, 1.6</t>
  </si>
  <si>
    <t xml:space="preserve">Fin de 5.4, 5.5, 5.6 y 1.6</t>
  </si>
  <si>
    <t xml:space="preserve">R-1</t>
  </si>
  <si>
    <t xml:space="preserve">Ventana de cierre de balances VCA (sin capacitación ni despliegue masivo)</t>
  </si>
  <si>
    <t xml:space="preserve">Restricción externa</t>
  </si>
  <si>
    <t xml:space="preserve">Notas</t>
  </si>
  <si>
    <t xml:space="preserve">• El camino crítico marcado (magenta) es el de la red lógica del diagrama AON. Las restricciones de calendario (ventana de balances y fechas del Acta) no forman parte de esa red: se aplican acá.</t>
  </si>
  <si>
    <t xml:space="preserve">• 5.3 (UAT) no empieza antes del 16/03/2027 y 5.4 (go-live) comienza el 31/03/2027 (H-6). Eso deja un colchón entre el fin del desarrollo y el UAT (ver Resumen).</t>
  </si>
  <si>
    <t xml:space="preserve">• 5.5, 5.6 y 1.6 se solapan con 5.4 (fast-tracking) para cerrar el 30/04/2027. Se pueden desactivar en Parámetros (celda "Aplicar solapes").</t>
  </si>
  <si>
    <t xml:space="preserve">• Δ días corridos = fecha plan menos fecha del Acta. Un valor positivo es un desvío del hito.</t>
  </si>
  <si>
    <t xml:space="preserve">WKH-2026 — Presupuesto preliminar y línea base de costos</t>
  </si>
  <si>
    <t xml:space="preserve">Montos en USD. Mano de obra por tarea según la lista de tareas de N2; licencia y costos no laborales como partidas aparte. Azul = entrada; verde = vínculo a otra hoja; negro = fórmula.</t>
  </si>
  <si>
    <t xml:space="preserve">Concepto</t>
  </si>
  <si>
    <t xml:space="preserve">Tipo</t>
  </si>
  <si>
    <t xml:space="preserve">Categoría (Anexo A)</t>
  </si>
  <si>
    <t xml:space="preserve">Costo (USD)</t>
  </si>
  <si>
    <t xml:space="preserve">Control</t>
  </si>
  <si>
    <t xml:space="preserve">Equipo Tandem + VCA</t>
  </si>
  <si>
    <t xml:space="preserve">Integraciones</t>
  </si>
  <si>
    <t xml:space="preserve">Gestión del cambio</t>
  </si>
  <si>
    <t xml:space="preserve">Ambientes y observabilidad</t>
  </si>
  <si>
    <t xml:space="preserve">P-1</t>
  </si>
  <si>
    <t xml:space="preserve">Licencia WorkHub: 1.200 usuarios con primer año de soporte</t>
  </si>
  <si>
    <t xml:space="preserve">Partida directa</t>
  </si>
  <si>
    <t xml:space="preserve">Licencia</t>
  </si>
  <si>
    <t xml:space="preserve">P-2</t>
  </si>
  <si>
    <t xml:space="preserve">Ambientes, observabilidad y licencias de soporte (parte no laboral)</t>
  </si>
  <si>
    <t xml:space="preserve">Partida no laboral</t>
  </si>
  <si>
    <t xml:space="preserve">P-3</t>
  </si>
  <si>
    <t xml:space="preserve">Capacitación, comunicación y materiales (parte no laboral)</t>
  </si>
  <si>
    <t xml:space="preserve">P-4</t>
  </si>
  <si>
    <t xml:space="preserve">Licencias y soporte de proveedores de las integraciones (parte no laboral)</t>
  </si>
  <si>
    <t xml:space="preserve">Costo base de actividades</t>
  </si>
  <si>
    <t xml:space="preserve">Conciliación con la inversión de N1 (sección 4.3, reproducida en el Anexo A): top-down vs bottom-up</t>
  </si>
  <si>
    <t xml:space="preserve">Categoría</t>
  </si>
  <si>
    <t xml:space="preserve">N1 / Anexo A (USD)</t>
  </si>
  <si>
    <t xml:space="preserve">Bottom-up N2 (USD)</t>
  </si>
  <si>
    <t xml:space="preserve">Diferencia (USD)</t>
  </si>
  <si>
    <t xml:space="preserve">Observación</t>
  </si>
  <si>
    <t xml:space="preserve">Licencia WorkHub para 1.200 usuarios, con primer año de soporte.</t>
  </si>
  <si>
    <t xml:space="preserve">Equipo de implementación de Tandem (168.000, 28 persona-mes) + horas del equipo interno de VCA (16.000). Tareas 1.x, 2.x y 5.2 a 5.6.</t>
  </si>
  <si>
    <t xml:space="preserve">Desarrollo de integraciones corporativas. Tareas 3.x más la partida P-4.</t>
  </si>
  <si>
    <t xml:space="preserve">Ambientes, migración, observabilidad y licencias de soporte del primer año. Tarea 5.1 más la partida P-2.</t>
  </si>
  <si>
    <t xml:space="preserve">Gestión del cambio, comunicación y capacitación. Tareas 4.x más la partida P-3.</t>
  </si>
  <si>
    <t xml:space="preserve">Debe coincidir con el costo total de la tabla de arriba (control en la fila siguiente).</t>
  </si>
  <si>
    <t xml:space="preserve">Reserva para contingencias</t>
  </si>
  <si>
    <t xml:space="preserve">Equivale a ~5,5 % del costo base. Responde a los riesgos con estrategia activa (apartado 1.10 de N1 y Anexo C).</t>
  </si>
  <si>
    <t xml:space="preserve">Línea base de costos</t>
  </si>
  <si>
    <t xml:space="preserve">Referencia de control: USD 420.000 ± 10 % (R-1 de N1). Coincide con la inversión total de N1.</t>
  </si>
  <si>
    <t xml:space="preserve">Reserva de gestión (fuera de la línea base)</t>
  </si>
  <si>
    <t xml:space="preserve">Agregada en N2 conforme al PMBOK 7: 4 % de la línea base, para trabajo imprevisto dentro del alcance. La N1 no la definía.</t>
  </si>
  <si>
    <t xml:space="preserve">Presupuesto del proyecto (línea base + reserva de gestión)</t>
  </si>
  <si>
    <t xml:space="preserve">La tolerancia de ± 10 % se mide sobre la línea base (USD 420.000), no sobre este total.</t>
  </si>
  <si>
    <t xml:space="preserve">Banda de tolerancia — límite inferior</t>
  </si>
  <si>
    <t xml:space="preserve">Banda de tolerancia — límite superior</t>
  </si>
  <si>
    <t xml:space="preserve">Control: distribución mensual = costo total</t>
  </si>
  <si>
    <t xml:space="preserve">Control: costo de actividades = inversión de N1 (USD 398.000)</t>
  </si>
  <si>
    <t xml:space="preserve">Lectura de las diferencias: las dos diferencias de USD 450 se compensan entre sí (Equipo Tandem + VCA e Integraciones) y no alteran el total. Se dejan visibles en lugar de forzarlas.</t>
  </si>
  <si>
    <t xml:space="preserve">WKH-2026 — Línea base de costos distribuida en el tiempo (curva S)</t>
  </si>
  <si>
    <t xml:space="preserve">USD. Distribución lineal por día hábil de cada tarea; licencia a la firma. La contingencia se prorratea según el gasto mensual (simplificación).</t>
  </si>
  <si>
    <t xml:space="preserve">Total</t>
  </si>
  <si>
    <t xml:space="preserve">Costo mensual de actividades</t>
  </si>
  <si>
    <t xml:space="preserve">Acumulado de actividades</t>
  </si>
  <si>
    <t xml:space="preserve">Contingencia prorrateada</t>
  </si>
  <si>
    <t xml:space="preserve">Línea base mensual</t>
  </si>
  <si>
    <t xml:space="preserve">Línea base acumulada</t>
  </si>
  <si>
    <t xml:space="preserve">Avance acumulado de la línea base (%)</t>
  </si>
</sst>
</file>

<file path=xl/styles.xml><?xml version="1.0" encoding="utf-8"?>
<styleSheet xmlns="http://schemas.openxmlformats.org/spreadsheetml/2006/main">
  <numFmts count="13">
    <numFmt numFmtId="164" formatCode="General"/>
    <numFmt numFmtId="165" formatCode="dd/mm/yyyy"/>
    <numFmt numFmtId="166" formatCode="0"/>
    <numFmt numFmtId="167" formatCode="@"/>
    <numFmt numFmtId="168" formatCode="#,##0;\(#,##0\);\-"/>
    <numFmt numFmtId="169" formatCode="0.0%"/>
    <numFmt numFmtId="170" formatCode="mmm"/>
    <numFmt numFmtId="171" formatCode="dd/mm"/>
    <numFmt numFmtId="172" formatCode="General"/>
    <numFmt numFmtId="173" formatCode="\+0;\-0;0"/>
    <numFmt numFmtId="174" formatCode="mmm\-yy"/>
    <numFmt numFmtId="175" formatCode="0.00;\-0.00;&quot;OK&quot;"/>
    <numFmt numFmtId="176" formatCode="#,##0"/>
  </numFmts>
  <fonts count="2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b val="true"/>
      <sz val="10"/>
      <color rgb="FF008000"/>
      <name val="Arial"/>
      <family val="0"/>
      <charset val="1"/>
    </font>
    <font>
      <b val="true"/>
      <sz val="10"/>
      <color rgb="FF000000"/>
      <name val="Arial"/>
      <family val="0"/>
      <charset val="1"/>
    </font>
    <font>
      <b val="true"/>
      <sz val="10"/>
      <color rgb="FFFFFFFF"/>
      <name val="Arial"/>
      <family val="0"/>
      <charset val="1"/>
    </font>
    <font>
      <sz val="10"/>
      <color rgb="FF0000FF"/>
      <name val="Arial"/>
      <family val="0"/>
      <charset val="1"/>
    </font>
    <font>
      <sz val="9"/>
      <color rgb="FF595959"/>
      <name val="Arial"/>
      <family val="0"/>
      <charset val="1"/>
    </font>
    <font>
      <sz val="9"/>
      <color rgb="FF008000"/>
      <name val="Arial"/>
      <family val="0"/>
      <charset val="1"/>
    </font>
    <font>
      <sz val="9"/>
      <color rgb="FF000000"/>
      <name val="Arial"/>
      <family val="0"/>
      <charset val="1"/>
    </font>
    <font>
      <b val="true"/>
      <sz val="8"/>
      <color rgb="FF1F3864"/>
      <name val="Arial"/>
      <family val="0"/>
      <charset val="1"/>
    </font>
    <font>
      <b val="true"/>
      <sz val="8"/>
      <color rgb="FFFFFFFF"/>
      <name val="Arial"/>
      <family val="0"/>
      <charset val="1"/>
    </font>
    <font>
      <i val="true"/>
      <sz val="10"/>
      <color rgb="FF000000"/>
      <name val="Arial"/>
      <family val="0"/>
      <charset val="1"/>
    </font>
    <font>
      <b val="true"/>
      <sz val="9"/>
      <color rgb="FFE6007E"/>
      <name val="Arial"/>
      <family val="0"/>
      <charset val="1"/>
    </font>
    <font>
      <sz val="10"/>
      <color rgb="FF008000"/>
      <name val="Arial"/>
      <family val="0"/>
      <charset val="1"/>
    </font>
    <font>
      <i val="true"/>
      <sz val="9"/>
      <color rgb="FF000000"/>
      <name val="Arial"/>
      <family val="0"/>
      <charset val="1"/>
    </font>
    <font>
      <b val="true"/>
      <sz val="10"/>
      <color rgb="FF1F3864"/>
      <name val="Arial"/>
      <family val="0"/>
      <charset val="1"/>
    </font>
    <font>
      <b val="true"/>
      <sz val="9"/>
      <color rgb="FF000000"/>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1F3864"/>
        <bgColor rgb="FF333333"/>
      </patternFill>
    </fill>
    <fill>
      <patternFill patternType="solid">
        <fgColor rgb="FFE6007E"/>
        <bgColor rgb="FFFF00FF"/>
      </patternFill>
    </fill>
    <fill>
      <patternFill patternType="solid">
        <fgColor rgb="FF2F5597"/>
        <bgColor rgb="FF1F3864"/>
      </patternFill>
    </fill>
    <fill>
      <patternFill patternType="solid">
        <fgColor rgb="FF7F7F7F"/>
        <bgColor rgb="FF878787"/>
      </patternFill>
    </fill>
    <fill>
      <patternFill patternType="solid">
        <fgColor rgb="FFD9D9D9"/>
        <bgColor rgb="FFD9E1F2"/>
      </patternFill>
    </fill>
    <fill>
      <patternFill patternType="solid">
        <fgColor rgb="FFF4B183"/>
        <bgColor rgb="FFFF99CC"/>
      </patternFill>
    </fill>
    <fill>
      <patternFill patternType="solid">
        <fgColor rgb="FFFFFF00"/>
        <bgColor rgb="FFFFFF00"/>
      </patternFill>
    </fill>
    <fill>
      <patternFill patternType="solid">
        <fgColor rgb="FFD9E1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right" vertical="bottom" textRotation="0" wrapText="false" indent="0" shrinkToFit="false"/>
      <protection locked="true" hidden="false"/>
    </xf>
    <xf numFmtId="166" fontId="8" fillId="0" borderId="1" xfId="0" applyFont="true" applyBorder="true" applyAlignment="true" applyProtection="true">
      <alignment horizontal="right" vertical="bottom" textRotation="0" wrapText="false" indent="0" shrinkToFit="false"/>
      <protection locked="true" hidden="false"/>
    </xf>
    <xf numFmtId="167" fontId="8" fillId="0" borderId="1" xfId="0" applyFont="true" applyBorder="true" applyAlignment="true" applyProtection="true">
      <alignment horizontal="right" vertical="bottom" textRotation="0" wrapText="false" indent="0" shrinkToFit="false"/>
      <protection locked="true" hidden="false"/>
    </xf>
    <xf numFmtId="168" fontId="8" fillId="0" borderId="1" xfId="0" applyFont="true" applyBorder="tru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10" fillId="2" borderId="1"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false" applyAlignment="true" applyProtection="true">
      <alignment horizontal="right" vertical="bottom" textRotation="0" wrapText="false" indent="0" shrinkToFit="false"/>
      <protection locked="true" hidden="false"/>
    </xf>
    <xf numFmtId="168" fontId="11" fillId="0" borderId="0" xfId="0" applyFont="true" applyBorder="false" applyAlignment="true" applyProtection="true">
      <alignment horizontal="right" vertical="bottom" textRotation="0" wrapText="false" indent="0" shrinkToFit="false"/>
      <protection locked="true" hidden="false"/>
    </xf>
    <xf numFmtId="169" fontId="11" fillId="0" borderId="0" xfId="0" applyFont="true" applyBorder="false" applyAlignment="true" applyProtection="true">
      <alignment horizontal="right" vertical="bottom" textRotation="0" wrapText="false" indent="0" shrinkToFit="false"/>
      <protection locked="true" hidden="false"/>
    </xf>
    <xf numFmtId="166" fontId="11" fillId="0" borderId="0" xfId="0" applyFont="true" applyBorder="false" applyAlignment="true" applyProtection="true">
      <alignment horizontal="righ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left" vertical="bottom" textRotation="0" wrapText="false" indent="0" shrinkToFit="false"/>
      <protection locked="true" hidden="false"/>
    </xf>
    <xf numFmtId="171" fontId="16" fillId="2" borderId="1" xfId="0" applyFont="true" applyBorder="true" applyAlignment="true" applyProtection="true">
      <alignment horizontal="center" vertical="center" textRotation="9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7"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72" fontId="7" fillId="0" borderId="1" xfId="0" applyFont="true" applyBorder="tru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center" vertical="bottom" textRotation="0" wrapText="false" indent="0" shrinkToFit="false"/>
      <protection locked="true" hidden="false"/>
    </xf>
    <xf numFmtId="165" fontId="11"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center" vertical="bottom" textRotation="0" wrapText="false" indent="0" shrinkToFit="false"/>
      <protection locked="true" hidden="false"/>
    </xf>
    <xf numFmtId="173" fontId="7" fillId="0" borderId="1" xfId="0" applyFont="true" applyBorder="tru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center" vertical="bottom" textRotation="0" wrapText="false" indent="0" shrinkToFit="false"/>
      <protection locked="true" hidden="false"/>
    </xf>
    <xf numFmtId="165" fontId="19" fillId="0" borderId="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74" fontId="10" fillId="2"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8" fontId="11"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75" fontId="14" fillId="0" borderId="1" xfId="0" applyFont="true" applyBorder="true" applyAlignment="true" applyProtection="true">
      <alignment horizontal="general" vertical="bottom" textRotation="0" wrapText="false" indent="0" shrinkToFit="false"/>
      <protection locked="true" hidden="false"/>
    </xf>
    <xf numFmtId="168" fontId="11" fillId="8" borderId="1" xfId="0" applyFont="true" applyBorder="true" applyAlignment="true" applyProtection="true">
      <alignment horizontal="general" vertical="bottom" textRotation="0" wrapText="false" indent="0" shrinkToFit="false"/>
      <protection locked="true" hidden="false"/>
    </xf>
    <xf numFmtId="164" fontId="0" fillId="9" borderId="1" xfId="0" applyFont="false" applyBorder="true" applyAlignment="true" applyProtection="true">
      <alignment horizontal="general" vertical="bottom" textRotation="0" wrapText="false" indent="0" shrinkToFit="false"/>
      <protection locked="true" hidden="false"/>
    </xf>
    <xf numFmtId="164" fontId="9" fillId="9" borderId="1" xfId="0" applyFont="true" applyBorder="true" applyAlignment="true" applyProtection="true">
      <alignment horizontal="general" vertical="bottom" textRotation="0" wrapText="false" indent="0" shrinkToFit="false"/>
      <protection locked="true" hidden="false"/>
    </xf>
    <xf numFmtId="168" fontId="9" fillId="9" borderId="1" xfId="0" applyFont="true" applyBorder="true" applyAlignment="true" applyProtection="true">
      <alignment horizontal="general" vertical="bottom" textRotation="0" wrapText="false" indent="0" shrinkToFit="false"/>
      <protection locked="true" hidden="false"/>
    </xf>
    <xf numFmtId="175" fontId="22" fillId="9" borderId="1" xfId="0" applyFont="true" applyBorder="tru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8" fontId="19" fillId="0" borderId="1" xfId="0" applyFont="true" applyBorder="true" applyAlignment="true" applyProtection="true">
      <alignment horizontal="general" vertical="bottom" textRotation="0" wrapText="false" indent="0" shrinkToFit="false"/>
      <protection locked="true" hidden="false"/>
    </xf>
    <xf numFmtId="168" fontId="9" fillId="0" borderId="1" xfId="0" applyFont="true" applyBorder="true" applyAlignment="true" applyProtection="true">
      <alignment horizontal="general" vertical="bottom" textRotation="0" wrapText="false" indent="0" shrinkToFit="false"/>
      <protection locked="true" hidden="false"/>
    </xf>
    <xf numFmtId="169" fontId="7"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7F7F7F"/>
        </patternFill>
      </fill>
    </dxf>
    <dxf>
      <fill>
        <patternFill>
          <bgColor rgb="FFE6007E"/>
        </patternFill>
      </fill>
    </dxf>
    <dxf>
      <fill>
        <patternFill>
          <bgColor rgb="FF2F5597"/>
        </patternFill>
      </fill>
    </dxf>
    <dxf>
      <fill>
        <patternFill>
          <bgColor rgb="FFE7E6E6"/>
        </patternFill>
      </fill>
    </dxf>
    <dxf>
      <font>
        <name val="Arial"/>
        <charset val="1"/>
        <family val="0"/>
        <b val="1"/>
        <color rgb="FFC00000"/>
      </font>
    </dxf>
    <dxf>
      <font>
        <name val="Arial"/>
        <charset val="1"/>
        <family val="0"/>
        <b val="1"/>
        <color rgb="FF00B050"/>
      </font>
    </dxf>
    <dxf>
      <fill>
        <patternFill>
          <bgColor rgb="FFF4B183"/>
        </patternFill>
      </fill>
    </dxf>
  </dxfs>
  <colors>
    <indexedColors>
      <rgbColor rgb="FF000000"/>
      <rgbColor rgb="FFFFFFFF"/>
      <rgbColor rgb="FFC00000"/>
      <rgbColor rgb="FF00FF00"/>
      <rgbColor rgb="FF0000FF"/>
      <rgbColor rgb="FFFFFF00"/>
      <rgbColor rgb="FFE6007E"/>
      <rgbColor rgb="FF00FFFF"/>
      <rgbColor rgb="FF800000"/>
      <rgbColor rgb="FF008000"/>
      <rgbColor rgb="FF000080"/>
      <rgbColor rgb="FF808000"/>
      <rgbColor rgb="FF800080"/>
      <rgbColor rgb="FF4F81BD"/>
      <rgbColor rgb="FFBFBFBF"/>
      <rgbColor rgb="FF7F7F7F"/>
      <rgbColor rgb="FF9999FF"/>
      <rgbColor rgb="FFBE4B48"/>
      <rgbColor rgb="FFE7E6E6"/>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4A7EBB"/>
      <rgbColor rgb="FF33CCCC"/>
      <rgbColor rgb="FF99CC00"/>
      <rgbColor rgb="FFFFCC00"/>
      <rgbColor rgb="FFFF9900"/>
      <rgbColor rgb="FFFF6600"/>
      <rgbColor rgb="FF595959"/>
      <rgbColor rgb="FF878787"/>
      <rgbColor rgb="FF1F3864"/>
      <rgbColor rgb="FF00B050"/>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Curva S — costo acumulado (USD)</a:t>
            </a:r>
          </a:p>
        </c:rich>
      </c:tx>
      <c:overlay val="0"/>
      <c:spPr>
        <a:noFill/>
        <a:ln w="0">
          <a:noFill/>
        </a:ln>
      </c:spPr>
    </c:title>
    <c:autoTitleDeleted val="0"/>
    <c:plotArea>
      <c:lineChart>
        <c:grouping val="standard"/>
        <c:varyColors val="0"/>
        <c:ser>
          <c:idx val="0"/>
          <c:order val="0"/>
          <c:tx>
            <c:strRef>
              <c:f>'Curva S'!A6</c:f>
              <c:strCache>
                <c:ptCount val="1"/>
                <c:pt idx="0">
                  <c:v>Acumulado de actividades</c:v>
                </c:pt>
              </c:strCache>
            </c:strRef>
          </c:tx>
          <c:spPr>
            <a:solidFill>
              <a:srgbClr val="4a7ebb"/>
            </a:solidFill>
            <a:ln w="28440">
              <a:solidFill>
                <a:srgbClr val="4a7ebb"/>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S'!$B$4:$I$4</c:f>
              <c:strCache>
                <c:ptCount val="8"/>
                <c:pt idx="0">
                  <c:v>Oct-26</c:v>
                </c:pt>
                <c:pt idx="1">
                  <c:v>Nov-26</c:v>
                </c:pt>
                <c:pt idx="2">
                  <c:v>Dec-26</c:v>
                </c:pt>
                <c:pt idx="3">
                  <c:v>Jan-27</c:v>
                </c:pt>
                <c:pt idx="4">
                  <c:v>Feb-27</c:v>
                </c:pt>
                <c:pt idx="5">
                  <c:v>Mar-27</c:v>
                </c:pt>
                <c:pt idx="6">
                  <c:v>Apr-27</c:v>
                </c:pt>
                <c:pt idx="7">
                  <c:v>May-27</c:v>
                </c:pt>
              </c:strCache>
            </c:strRef>
          </c:cat>
          <c:val>
            <c:numRef>
              <c:f>'Curva S'!$B$6:$I$6</c:f>
              <c:numCache>
                <c:formatCode>#,##0;\(#,##0\);\-</c:formatCode>
                <c:ptCount val="8"/>
                <c:pt idx="0">
                  <c:v>175571.330520959</c:v>
                </c:pt>
                <c:pt idx="1">
                  <c:v>261339.774779143</c:v>
                </c:pt>
                <c:pt idx="2">
                  <c:v>304841.839726983</c:v>
                </c:pt>
                <c:pt idx="3">
                  <c:v>324010.571341489</c:v>
                </c:pt>
                <c:pt idx="4">
                  <c:v>329967.429794544</c:v>
                </c:pt>
                <c:pt idx="5">
                  <c:v>350138.977501004</c:v>
                </c:pt>
                <c:pt idx="6">
                  <c:v>398000</c:v>
                </c:pt>
                <c:pt idx="7">
                  <c:v>398000</c:v>
                </c:pt>
              </c:numCache>
            </c:numRef>
          </c:val>
          <c:smooth val="1"/>
        </c:ser>
        <c:ser>
          <c:idx val="1"/>
          <c:order val="1"/>
          <c:tx>
            <c:strRef>
              <c:f>'Curva S'!A9</c:f>
              <c:strCache>
                <c:ptCount val="1"/>
                <c:pt idx="0">
                  <c:v>Línea base acumulada</c:v>
                </c:pt>
              </c:strCache>
            </c:strRef>
          </c:tx>
          <c:spPr>
            <a:solidFill>
              <a:srgbClr val="be4b48"/>
            </a:solidFill>
            <a:ln w="28440">
              <a:solidFill>
                <a:srgbClr val="be4b48"/>
              </a:solidFill>
              <a:round/>
            </a:ln>
          </c:spPr>
          <c:marker>
            <c:symbol val="none"/>
          </c:marker>
          <c:dLbls>
            <c:txPr>
              <a:bodyPr wrap="non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S'!$B$4:$I$4</c:f>
              <c:strCache>
                <c:ptCount val="8"/>
                <c:pt idx="0">
                  <c:v>Oct-26</c:v>
                </c:pt>
                <c:pt idx="1">
                  <c:v>Nov-26</c:v>
                </c:pt>
                <c:pt idx="2">
                  <c:v>Dec-26</c:v>
                </c:pt>
                <c:pt idx="3">
                  <c:v>Jan-27</c:v>
                </c:pt>
                <c:pt idx="4">
                  <c:v>Feb-27</c:v>
                </c:pt>
                <c:pt idx="5">
                  <c:v>Mar-27</c:v>
                </c:pt>
                <c:pt idx="6">
                  <c:v>Apr-27</c:v>
                </c:pt>
                <c:pt idx="7">
                  <c:v>May-27</c:v>
                </c:pt>
              </c:strCache>
            </c:strRef>
          </c:cat>
          <c:val>
            <c:numRef>
              <c:f>'Curva S'!$B$9:$I$9</c:f>
              <c:numCache>
                <c:formatCode>#,##0;\(#,##0\);\-</c:formatCode>
                <c:ptCount val="8"/>
                <c:pt idx="0">
                  <c:v>185276.278439203</c:v>
                </c:pt>
                <c:pt idx="1">
                  <c:v>275785.69197799</c:v>
                </c:pt>
                <c:pt idx="2">
                  <c:v>321692.393681741</c:v>
                </c:pt>
                <c:pt idx="3">
                  <c:v>341920.703425692</c:v>
                </c:pt>
                <c:pt idx="4">
                  <c:v>348206.835461579</c:v>
                </c:pt>
                <c:pt idx="5">
                  <c:v>369493.393342769</c:v>
                </c:pt>
                <c:pt idx="6">
                  <c:v>420000</c:v>
                </c:pt>
                <c:pt idx="7">
                  <c:v>420000</c:v>
                </c:pt>
              </c:numCache>
            </c:numRef>
          </c:val>
          <c:smooth val="1"/>
        </c:ser>
        <c:hiLowLines>
          <c:spPr>
            <a:ln w="0">
              <a:noFill/>
            </a:ln>
          </c:spPr>
        </c:hiLowLines>
        <c:marker val="0"/>
        <c:axId val="56582273"/>
        <c:axId val="39269222"/>
      </c:lineChart>
      <c:catAx>
        <c:axId val="56582273"/>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269222"/>
        <c:crosses val="autoZero"/>
        <c:auto val="1"/>
        <c:lblAlgn val="ctr"/>
        <c:lblOffset val="100"/>
        <c:noMultiLvlLbl val="0"/>
      </c:catAx>
      <c:valAx>
        <c:axId val="392692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58227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mensual de la línea base (USD)</a:t>
            </a:r>
          </a:p>
        </c:rich>
      </c:tx>
      <c:overlay val="0"/>
      <c:spPr>
        <a:noFill/>
        <a:ln w="0">
          <a:noFill/>
        </a:ln>
      </c:spPr>
    </c:title>
    <c:autoTitleDeleted val="0"/>
    <c:plotArea>
      <c:barChart>
        <c:barDir val="col"/>
        <c:grouping val="clustered"/>
        <c:varyColors val="0"/>
        <c:ser>
          <c:idx val="0"/>
          <c:order val="0"/>
          <c:tx>
            <c:strRef>
              <c:f>'Curva S'!A8</c:f>
              <c:strCache>
                <c:ptCount val="1"/>
                <c:pt idx="0">
                  <c:v>Línea base mensual</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'Curva S'!$B$4:$I$4</c:f>
              <c:strCache>
                <c:ptCount val="8"/>
                <c:pt idx="0">
                  <c:v>Oct-26</c:v>
                </c:pt>
                <c:pt idx="1">
                  <c:v>Nov-26</c:v>
                </c:pt>
                <c:pt idx="2">
                  <c:v>Dec-26</c:v>
                </c:pt>
                <c:pt idx="3">
                  <c:v>Jan-27</c:v>
                </c:pt>
                <c:pt idx="4">
                  <c:v>Feb-27</c:v>
                </c:pt>
                <c:pt idx="5">
                  <c:v>Mar-27</c:v>
                </c:pt>
                <c:pt idx="6">
                  <c:v>Apr-27</c:v>
                </c:pt>
                <c:pt idx="7">
                  <c:v>May-27</c:v>
                </c:pt>
              </c:strCache>
            </c:strRef>
          </c:cat>
          <c:val>
            <c:numRef>
              <c:f>'Curva S'!$B$8:$I$8</c:f>
              <c:numCache>
                <c:formatCode>#,##0;\(#,##0\);\-</c:formatCode>
                <c:ptCount val="8"/>
                <c:pt idx="0">
                  <c:v>185276.278439203</c:v>
                </c:pt>
                <c:pt idx="1">
                  <c:v>90509.4135387874</c:v>
                </c:pt>
                <c:pt idx="2">
                  <c:v>45906.7017037502</c:v>
                </c:pt>
                <c:pt idx="3">
                  <c:v>20228.3097439512</c:v>
                </c:pt>
                <c:pt idx="4">
                  <c:v>6286.13203588773</c:v>
                </c:pt>
                <c:pt idx="5">
                  <c:v>21286.5578811891</c:v>
                </c:pt>
                <c:pt idx="6">
                  <c:v>50506.6066572315</c:v>
                </c:pt>
                <c:pt idx="7">
                  <c:v>0</c:v>
                </c:pt>
              </c:numCache>
            </c:numRef>
          </c:val>
        </c:ser>
        <c:gapWidth val="150"/>
        <c:overlap val="0"/>
        <c:axId val="9986888"/>
        <c:axId val="53464695"/>
      </c:barChart>
      <c:catAx>
        <c:axId val="9986888"/>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64695"/>
        <c:crosses val="autoZero"/>
        <c:auto val="1"/>
        <c:lblAlgn val="ctr"/>
        <c:lblOffset val="100"/>
        <c:noMultiLvlLbl val="0"/>
      </c:catAx>
      <c:valAx>
        <c:axId val="53464695"/>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688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160920</xdr:rowOff>
    </xdr:from>
    <xdr:to>
      <xdr:col>7</xdr:col>
      <xdr:colOff>22680</xdr:colOff>
      <xdr:row>27</xdr:row>
      <xdr:rowOff>169920</xdr:rowOff>
    </xdr:to>
    <xdr:graphicFrame>
      <xdr:nvGraphicFramePr>
        <xdr:cNvPr id="0" name="Chart 1"/>
        <xdr:cNvGraphicFramePr/>
      </xdr:nvGraphicFramePr>
      <xdr:xfrm>
        <a:off x="0" y="2400480"/>
        <a:ext cx="7917120" cy="305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29</xdr:row>
      <xdr:rowOff>160920</xdr:rowOff>
    </xdr:from>
    <xdr:to>
      <xdr:col>7</xdr:col>
      <xdr:colOff>22680</xdr:colOff>
      <xdr:row>45</xdr:row>
      <xdr:rowOff>169920</xdr:rowOff>
    </xdr:to>
    <xdr:graphicFrame>
      <xdr:nvGraphicFramePr>
        <xdr:cNvPr id="1" name="Chart 2"/>
        <xdr:cNvGraphicFramePr/>
      </xdr:nvGraphicFramePr>
      <xdr:xfrm>
        <a:off x="0" y="5829480"/>
        <a:ext cx="7917120" cy="3057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8"/>
    <col collapsed="false" customWidth="true" hidden="false" outlineLevel="0" max="2" min="2" style="1" width="48"/>
  </cols>
  <sheetData>
    <row r="1" customFormat="false" ht="17.3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row>
    <row r="5" customFormat="false" ht="15" hidden="false" customHeight="false" outlineLevel="0" collapsed="false">
      <c r="A5" s="5" t="s">
        <v>3</v>
      </c>
      <c r="B5" s="6" t="n">
        <f aca="false">InicioProyecto</f>
        <v>46296</v>
      </c>
    </row>
    <row r="6" customFormat="false" ht="15" hidden="false" customHeight="false" outlineLevel="0" collapsed="false">
      <c r="A6" s="5" t="s">
        <v>4</v>
      </c>
      <c r="B6" s="6" t="n">
        <f aca="false">Cronograma!H6</f>
        <v>46507</v>
      </c>
    </row>
    <row r="7" customFormat="false" ht="15" hidden="false" customHeight="false" outlineLevel="0" collapsed="false">
      <c r="A7" s="5" t="s">
        <v>5</v>
      </c>
      <c r="B7" s="7" t="n">
        <f aca="false">NETWORKDAYS(InicioProyecto,Cronograma!H6,Feriados)</f>
        <v>140</v>
      </c>
    </row>
    <row r="8" customFormat="false" ht="15" hidden="false" customHeight="false" outlineLevel="0" collapsed="false">
      <c r="A8" s="5" t="s">
        <v>6</v>
      </c>
      <c r="B8" s="6" t="n">
        <f aca="false">MAX(Cronograma!H17,Cronograma!H19,Cronograma!H20,Cronograma!H25,Cronograma!H30,Cronograma!H32)</f>
        <v>46405</v>
      </c>
    </row>
    <row r="9" customFormat="false" ht="15" hidden="false" customHeight="false" outlineLevel="0" collapsed="false">
      <c r="A9" s="5" t="s">
        <v>7</v>
      </c>
      <c r="B9" s="6" t="n">
        <f aca="false">Cronograma!G33</f>
        <v>46462</v>
      </c>
    </row>
    <row r="10" customFormat="false" ht="15" hidden="false" customHeight="false" outlineLevel="0" collapsed="false">
      <c r="A10" s="5" t="s">
        <v>8</v>
      </c>
      <c r="B10" s="7" t="n">
        <f aca="false">NETWORKDAYS(B8+1,B9-1,Feriados)</f>
        <v>38</v>
      </c>
    </row>
    <row r="11" customFormat="false" ht="15" hidden="false" customHeight="false" outlineLevel="0" collapsed="false">
      <c r="A11" s="5" t="s">
        <v>9</v>
      </c>
      <c r="B11" s="8" t="str">
        <f aca="false">COUNTIF(Cronograma!I39:I46,"OK")&amp;" de "&amp;ROWS(Cronograma!I39:I46)</f>
        <v>8 de 8</v>
      </c>
    </row>
    <row r="12" customFormat="false" ht="15" hidden="false" customHeight="false" outlineLevel="0" collapsed="false">
      <c r="A12" s="5" t="s">
        <v>10</v>
      </c>
      <c r="B12" s="9" t="n">
        <f aca="false">Presupuesto!D50</f>
        <v>398000</v>
      </c>
    </row>
    <row r="13" customFormat="false" ht="15" hidden="false" customHeight="false" outlineLevel="0" collapsed="false">
      <c r="A13" s="5" t="s">
        <v>11</v>
      </c>
      <c r="B13" s="9" t="n">
        <f aca="false">Presupuesto!D52</f>
        <v>420000</v>
      </c>
    </row>
    <row r="14" customFormat="false" ht="15" hidden="false" customHeight="false" outlineLevel="0" collapsed="false">
      <c r="A14" s="5" t="s">
        <v>12</v>
      </c>
      <c r="B14" s="9" t="n">
        <f aca="false">Presupuesto!D54</f>
        <v>436800</v>
      </c>
    </row>
    <row r="16" customFormat="false" ht="15" hidden="false" customHeight="false" outlineLevel="0" collapsed="false">
      <c r="A16" s="4" t="s">
        <v>13</v>
      </c>
    </row>
    <row r="17" customFormat="false" ht="15" hidden="false" customHeight="false" outlineLevel="0" collapsed="false">
      <c r="A17" s="10" t="s">
        <v>14</v>
      </c>
      <c r="B17" s="11" t="s">
        <v>15</v>
      </c>
    </row>
    <row r="18" customFormat="false" ht="15" hidden="false" customHeight="false" outlineLevel="0" collapsed="false">
      <c r="A18" s="10" t="s">
        <v>16</v>
      </c>
      <c r="B18" s="11" t="s">
        <v>17</v>
      </c>
    </row>
    <row r="19" customFormat="false" ht="15" hidden="false" customHeight="false" outlineLevel="0" collapsed="false">
      <c r="A19" s="10" t="s">
        <v>18</v>
      </c>
      <c r="B19" s="11" t="s">
        <v>19</v>
      </c>
    </row>
    <row r="20" customFormat="false" ht="15" hidden="false" customHeight="false" outlineLevel="0" collapsed="false">
      <c r="A20" s="10" t="s">
        <v>20</v>
      </c>
      <c r="B20" s="11" t="s">
        <v>21</v>
      </c>
    </row>
    <row r="22" customFormat="false" ht="15" hidden="false" customHeight="false" outlineLevel="0" collapsed="false">
      <c r="A22" s="4" t="s">
        <v>22</v>
      </c>
    </row>
    <row r="23" customFormat="false" ht="43.5" hidden="false" customHeight="true" outlineLevel="0" collapsed="false">
      <c r="A23" s="12" t="s">
        <v>23</v>
      </c>
      <c r="B23" s="12"/>
    </row>
    <row r="24" customFormat="false" ht="43.5" hidden="false" customHeight="true" outlineLevel="0" collapsed="false">
      <c r="A24" s="12" t="s">
        <v>24</v>
      </c>
      <c r="B24" s="12"/>
    </row>
    <row r="25" customFormat="false" ht="43.5" hidden="false" customHeight="true" outlineLevel="0" collapsed="false">
      <c r="A25" s="12" t="s">
        <v>25</v>
      </c>
      <c r="B25" s="12"/>
    </row>
    <row r="26" customFormat="false" ht="43.5" hidden="false" customHeight="true" outlineLevel="0" collapsed="false">
      <c r="A26" s="12" t="s">
        <v>26</v>
      </c>
      <c r="B26" s="12"/>
    </row>
    <row r="27" customFormat="false" ht="43.5" hidden="false" customHeight="true" outlineLevel="0" collapsed="false">
      <c r="A27" s="12" t="s">
        <v>27</v>
      </c>
      <c r="B27" s="12"/>
    </row>
    <row r="28" customFormat="false" ht="43.5" hidden="false" customHeight="true" outlineLevel="0" collapsed="false">
      <c r="A28" s="12" t="s">
        <v>28</v>
      </c>
      <c r="B28" s="12"/>
    </row>
    <row r="29" customFormat="false" ht="43.5" hidden="false" customHeight="true" outlineLevel="0" collapsed="false">
      <c r="A29" s="12" t="s">
        <v>29</v>
      </c>
      <c r="B29" s="12"/>
    </row>
    <row r="30" customFormat="false" ht="43.5" hidden="false" customHeight="true" outlineLevel="0" collapsed="false">
      <c r="A30" s="13" t="s">
        <v>30</v>
      </c>
      <c r="B30" s="13"/>
    </row>
    <row r="31" customFormat="false" ht="43.5" hidden="false" customHeight="true" outlineLevel="0" collapsed="false">
      <c r="A31" s="13" t="s">
        <v>31</v>
      </c>
      <c r="B31" s="13"/>
    </row>
    <row r="32" customFormat="false" ht="15" hidden="false" customHeight="false" outlineLevel="0" collapsed="false">
      <c r="A32" s="4" t="s">
        <v>32</v>
      </c>
    </row>
    <row r="33" customFormat="false" ht="30" hidden="false" customHeight="true" outlineLevel="0" collapsed="false">
      <c r="A33" s="12" t="s">
        <v>33</v>
      </c>
      <c r="B33" s="12"/>
    </row>
    <row r="34" customFormat="false" ht="30" hidden="false" customHeight="true" outlineLevel="0" collapsed="false">
      <c r="A34" s="12" t="s">
        <v>34</v>
      </c>
      <c r="B34" s="12"/>
    </row>
    <row r="35" customFormat="false" ht="30" hidden="false" customHeight="true" outlineLevel="0" collapsed="false">
      <c r="A35" s="12" t="s">
        <v>35</v>
      </c>
      <c r="B35" s="12"/>
    </row>
  </sheetData>
  <mergeCells count="12">
    <mergeCell ref="A23:B23"/>
    <mergeCell ref="A24:B24"/>
    <mergeCell ref="A25:B25"/>
    <mergeCell ref="A26:B26"/>
    <mergeCell ref="A27:B27"/>
    <mergeCell ref="A28:B28"/>
    <mergeCell ref="A29:B29"/>
    <mergeCell ref="A30:B30"/>
    <mergeCell ref="A31:B31"/>
    <mergeCell ref="A33:B33"/>
    <mergeCell ref="A34:B34"/>
    <mergeCell ref="A35:B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6"/>
    <col collapsed="false" customWidth="true" hidden="false" outlineLevel="0" max="3" min="3" style="1" width="70"/>
  </cols>
  <sheetData>
    <row r="1" customFormat="false" ht="17.35" hidden="false" customHeight="false" outlineLevel="0" collapsed="false">
      <c r="A1" s="2" t="s">
        <v>36</v>
      </c>
    </row>
    <row r="2" customFormat="false" ht="15" hidden="false" customHeight="false" outlineLevel="0" collapsed="false">
      <c r="A2" s="3" t="s">
        <v>37</v>
      </c>
    </row>
    <row r="3" customFormat="false" ht="19.5" hidden="false" customHeight="true" outlineLevel="0" collapsed="false">
      <c r="A3" s="14" t="s">
        <v>38</v>
      </c>
      <c r="B3" s="14" t="s">
        <v>39</v>
      </c>
      <c r="C3" s="14" t="s">
        <v>40</v>
      </c>
    </row>
    <row r="4" customFormat="false" ht="15" hidden="false" customHeight="false" outlineLevel="0" collapsed="false">
      <c r="A4" s="11" t="s">
        <v>41</v>
      </c>
      <c r="B4" s="15" t="n">
        <v>46296</v>
      </c>
      <c r="C4" s="3" t="s">
        <v>42</v>
      </c>
    </row>
    <row r="5" customFormat="false" ht="15" hidden="false" customHeight="false" outlineLevel="0" collapsed="false">
      <c r="A5" s="11" t="s">
        <v>43</v>
      </c>
      <c r="B5" s="15" t="n">
        <v>46388</v>
      </c>
      <c r="C5" s="3" t="s">
        <v>44</v>
      </c>
    </row>
    <row r="6" customFormat="false" ht="15" hidden="false" customHeight="false" outlineLevel="0" collapsed="false">
      <c r="A6" s="11" t="s">
        <v>45</v>
      </c>
      <c r="B6" s="15" t="n">
        <v>46461</v>
      </c>
      <c r="C6" s="3" t="s">
        <v>46</v>
      </c>
    </row>
    <row r="7" customFormat="false" ht="15" hidden="false" customHeight="false" outlineLevel="0" collapsed="false">
      <c r="A7" s="11" t="s">
        <v>47</v>
      </c>
      <c r="B7" s="16" t="n">
        <v>22000</v>
      </c>
      <c r="C7" s="3" t="s">
        <v>48</v>
      </c>
    </row>
    <row r="8" customFormat="false" ht="15" hidden="false" customHeight="false" outlineLevel="0" collapsed="false">
      <c r="A8" s="11" t="s">
        <v>49</v>
      </c>
      <c r="B8" s="17" t="n">
        <v>0.04</v>
      </c>
      <c r="C8" s="3" t="s">
        <v>50</v>
      </c>
    </row>
    <row r="9" customFormat="false" ht="15" hidden="false" customHeight="false" outlineLevel="0" collapsed="false">
      <c r="A9" s="11" t="s">
        <v>51</v>
      </c>
      <c r="B9" s="17" t="n">
        <v>0.1</v>
      </c>
      <c r="C9" s="3" t="s">
        <v>52</v>
      </c>
    </row>
    <row r="10" customFormat="false" ht="15" hidden="false" customHeight="false" outlineLevel="0" collapsed="false">
      <c r="A10" s="11" t="s">
        <v>53</v>
      </c>
      <c r="B10" s="18" t="n">
        <v>1</v>
      </c>
      <c r="C10" s="3" t="s">
        <v>54</v>
      </c>
    </row>
    <row r="11" customFormat="false" ht="15" hidden="false" customHeight="false" outlineLevel="0" collapsed="false">
      <c r="A11" s="11" t="s">
        <v>55</v>
      </c>
      <c r="B11" s="18" t="n">
        <v>10</v>
      </c>
      <c r="C11" s="3" t="s">
        <v>56</v>
      </c>
    </row>
    <row r="12" customFormat="false" ht="15" hidden="false" customHeight="false" outlineLevel="0" collapsed="false">
      <c r="A12" s="11" t="s">
        <v>57</v>
      </c>
      <c r="B12" s="18" t="n">
        <v>2</v>
      </c>
      <c r="C12" s="3" t="s">
        <v>58</v>
      </c>
    </row>
    <row r="13" customFormat="false" ht="15" hidden="false" customHeight="false" outlineLevel="0" collapsed="false">
      <c r="A13" s="11" t="s">
        <v>59</v>
      </c>
      <c r="B13" s="18" t="n">
        <v>0</v>
      </c>
      <c r="C13" s="3" t="s">
        <v>60</v>
      </c>
    </row>
    <row r="15" customFormat="false" ht="15" hidden="false" customHeight="false" outlineLevel="0" collapsed="false">
      <c r="A15" s="4" t="s">
        <v>61</v>
      </c>
    </row>
    <row r="16" customFormat="false" ht="19.5" hidden="false" customHeight="true" outlineLevel="0" collapsed="false">
      <c r="A16" s="14" t="s">
        <v>62</v>
      </c>
      <c r="B16" s="14" t="s">
        <v>63</v>
      </c>
    </row>
    <row r="17" customFormat="false" ht="15" hidden="false" customHeight="false" outlineLevel="0" collapsed="false">
      <c r="A17" s="19" t="n">
        <v>46307</v>
      </c>
      <c r="B17" s="11" t="s">
        <v>64</v>
      </c>
    </row>
    <row r="18" customFormat="false" ht="15" hidden="false" customHeight="false" outlineLevel="0" collapsed="false">
      <c r="A18" s="19" t="n">
        <v>46349</v>
      </c>
      <c r="B18" s="11" t="s">
        <v>65</v>
      </c>
    </row>
    <row r="19" customFormat="false" ht="15" hidden="false" customHeight="false" outlineLevel="0" collapsed="false">
      <c r="A19" s="19" t="n">
        <v>46363</v>
      </c>
      <c r="B19" s="11" t="s">
        <v>66</v>
      </c>
    </row>
    <row r="20" customFormat="false" ht="15" hidden="false" customHeight="false" outlineLevel="0" collapsed="false">
      <c r="A20" s="19" t="n">
        <v>46364</v>
      </c>
      <c r="B20" s="11" t="s">
        <v>67</v>
      </c>
    </row>
    <row r="21" customFormat="false" ht="15" hidden="false" customHeight="false" outlineLevel="0" collapsed="false">
      <c r="A21" s="19" t="n">
        <v>46381</v>
      </c>
      <c r="B21" s="11" t="s">
        <v>68</v>
      </c>
    </row>
    <row r="22" customFormat="false" ht="15" hidden="false" customHeight="false" outlineLevel="0" collapsed="false">
      <c r="A22" s="19" t="n">
        <v>46388</v>
      </c>
      <c r="B22" s="11" t="s">
        <v>69</v>
      </c>
    </row>
    <row r="23" customFormat="false" ht="15" hidden="false" customHeight="false" outlineLevel="0" collapsed="false">
      <c r="A23" s="19" t="n">
        <v>46426</v>
      </c>
      <c r="B23" s="11" t="s">
        <v>70</v>
      </c>
    </row>
    <row r="24" customFormat="false" ht="15" hidden="false" customHeight="false" outlineLevel="0" collapsed="false">
      <c r="A24" s="19" t="n">
        <v>46427</v>
      </c>
      <c r="B24" s="11" t="s">
        <v>70</v>
      </c>
    </row>
    <row r="25" customFormat="false" ht="15" hidden="false" customHeight="false" outlineLevel="0" collapsed="false">
      <c r="A25" s="19" t="n">
        <v>46470</v>
      </c>
      <c r="B25" s="11" t="s">
        <v>71</v>
      </c>
    </row>
    <row r="26" customFormat="false" ht="15" hidden="false" customHeight="false" outlineLevel="0" collapsed="false">
      <c r="A26" s="19" t="n">
        <v>46471</v>
      </c>
      <c r="B26" s="11" t="s">
        <v>72</v>
      </c>
    </row>
    <row r="27" customFormat="false" ht="15" hidden="false" customHeight="false" outlineLevel="0" collapsed="false">
      <c r="A27" s="19" t="n">
        <v>46472</v>
      </c>
      <c r="B27" s="11" t="s">
        <v>73</v>
      </c>
    </row>
    <row r="28" customFormat="false" ht="15" hidden="false" customHeight="false" outlineLevel="0" collapsed="false">
      <c r="A28" s="19" t="n">
        <v>46479</v>
      </c>
      <c r="B28" s="11" t="s">
        <v>74</v>
      </c>
    </row>
    <row r="30" customFormat="false" ht="27.75" hidden="false" customHeight="true" outlineLevel="0" collapsed="false">
      <c r="A30" s="20" t="s">
        <v>75</v>
      </c>
      <c r="B30" s="20"/>
      <c r="C30" s="20"/>
    </row>
    <row r="31" customFormat="false" ht="15" hidden="false" customHeight="false" outlineLevel="0" collapsed="false">
      <c r="A31" s="20"/>
      <c r="B31" s="20"/>
      <c r="C31" s="20"/>
    </row>
  </sheetData>
  <mergeCells count="1">
    <mergeCell ref="A30: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6"/>
    <col collapsed="false" customWidth="true" hidden="false" outlineLevel="0" max="3" min="3" style="1" width="36"/>
    <col collapsed="false" customWidth="true" hidden="false" outlineLevel="0" max="4" min="4" style="1" width="7"/>
    <col collapsed="false" customWidth="true" hidden="false" outlineLevel="0" max="5" min="5" style="1" width="26"/>
    <col collapsed="false" customWidth="true" hidden="false" outlineLevel="0" max="6" min="6" style="1" width="12"/>
    <col collapsed="false" customWidth="true" hidden="false" outlineLevel="0" max="8" min="7" style="1" width="11"/>
    <col collapsed="false" customWidth="true" hidden="false" outlineLevel="0" max="9" min="9" style="1" width="9"/>
    <col collapsed="false" customWidth="true" hidden="false" outlineLevel="0" max="10" min="10" style="1" width="17"/>
    <col collapsed="false" customWidth="true" hidden="false" outlineLevel="0" max="43" min="11" style="1" width="4.4"/>
  </cols>
  <sheetData>
    <row r="1" customFormat="false" ht="17.35" hidden="false" customHeight="false" outlineLevel="0" collapsed="false">
      <c r="A1" s="2" t="s">
        <v>76</v>
      </c>
    </row>
    <row r="2" customFormat="false" ht="15" hidden="false" customHeight="false" outlineLevel="0" collapsed="false">
      <c r="A2" s="3" t="s">
        <v>77</v>
      </c>
      <c r="H2" s="21" t="s">
        <v>78</v>
      </c>
      <c r="J2" s="22" t="n">
        <f aca="false">BalIni</f>
        <v>46388</v>
      </c>
    </row>
    <row r="3" customFormat="false" ht="15" hidden="false" customHeight="false" outlineLevel="0" collapsed="false">
      <c r="H3" s="21" t="s">
        <v>79</v>
      </c>
      <c r="J3" s="22" t="n">
        <f aca="false">BalFin</f>
        <v>46461</v>
      </c>
      <c r="K3" s="23"/>
      <c r="L3" s="24" t="s">
        <v>80</v>
      </c>
      <c r="Q3" s="25"/>
      <c r="R3" s="24" t="s">
        <v>81</v>
      </c>
      <c r="W3" s="26"/>
      <c r="X3" s="24" t="s">
        <v>82</v>
      </c>
      <c r="AC3" s="27"/>
      <c r="AD3" s="24" t="s">
        <v>83</v>
      </c>
      <c r="AI3" s="28"/>
      <c r="AJ3" s="24" t="s">
        <v>84</v>
      </c>
      <c r="AO3" s="24" t="s">
        <v>85</v>
      </c>
    </row>
    <row r="4" customFormat="false" ht="15" hidden="false" customHeight="false" outlineLevel="0" collapsed="false">
      <c r="K4" s="29" t="n">
        <f aca="false">K5</f>
        <v>46293</v>
      </c>
      <c r="L4" s="29" t="n">
        <f aca="false">IF(MONTH(L5)&lt;&gt;MONTH(K5),L5,"")</f>
        <v>46300</v>
      </c>
      <c r="M4" s="29" t="str">
        <f aca="false">IF(MONTH(M5)&lt;&gt;MONTH(L5),M5,"")</f>
        <v/>
      </c>
      <c r="N4" s="29" t="str">
        <f aca="false">IF(MONTH(N5)&lt;&gt;MONTH(M5),N5,"")</f>
        <v/>
      </c>
      <c r="O4" s="29" t="str">
        <f aca="false">IF(MONTH(O5)&lt;&gt;MONTH(N5),O5,"")</f>
        <v/>
      </c>
      <c r="P4" s="29" t="n">
        <f aca="false">IF(MONTH(P5)&lt;&gt;MONTH(O5),P5,"")</f>
        <v>46328</v>
      </c>
      <c r="Q4" s="29" t="str">
        <f aca="false">IF(MONTH(Q5)&lt;&gt;MONTH(P5),Q5,"")</f>
        <v/>
      </c>
      <c r="R4" s="29" t="str">
        <f aca="false">IF(MONTH(R5)&lt;&gt;MONTH(Q5),R5,"")</f>
        <v/>
      </c>
      <c r="S4" s="29" t="str">
        <f aca="false">IF(MONTH(S5)&lt;&gt;MONTH(R5),S5,"")</f>
        <v/>
      </c>
      <c r="T4" s="29" t="str">
        <f aca="false">IF(MONTH(T5)&lt;&gt;MONTH(S5),T5,"")</f>
        <v/>
      </c>
      <c r="U4" s="29" t="n">
        <f aca="false">IF(MONTH(U5)&lt;&gt;MONTH(T5),U5,"")</f>
        <v>46363</v>
      </c>
      <c r="V4" s="29" t="str">
        <f aca="false">IF(MONTH(V5)&lt;&gt;MONTH(U5),V5,"")</f>
        <v/>
      </c>
      <c r="W4" s="29" t="str">
        <f aca="false">IF(MONTH(W5)&lt;&gt;MONTH(V5),W5,"")</f>
        <v/>
      </c>
      <c r="X4" s="29" t="str">
        <f aca="false">IF(MONTH(X5)&lt;&gt;MONTH(W5),X5,"")</f>
        <v/>
      </c>
      <c r="Y4" s="29" t="n">
        <f aca="false">IF(MONTH(Y5)&lt;&gt;MONTH(X5),Y5,"")</f>
        <v>46391</v>
      </c>
      <c r="Z4" s="29" t="str">
        <f aca="false">IF(MONTH(Z5)&lt;&gt;MONTH(Y5),Z5,"")</f>
        <v/>
      </c>
      <c r="AA4" s="29" t="str">
        <f aca="false">IF(MONTH(AA5)&lt;&gt;MONTH(Z5),AA5,"")</f>
        <v/>
      </c>
      <c r="AB4" s="29" t="str">
        <f aca="false">IF(MONTH(AB5)&lt;&gt;MONTH(AA5),AB5,"")</f>
        <v/>
      </c>
      <c r="AC4" s="29" t="n">
        <f aca="false">IF(MONTH(AC5)&lt;&gt;MONTH(AB5),AC5,"")</f>
        <v>46419</v>
      </c>
      <c r="AD4" s="29" t="str">
        <f aca="false">IF(MONTH(AD5)&lt;&gt;MONTH(AC5),AD5,"")</f>
        <v/>
      </c>
      <c r="AE4" s="29" t="str">
        <f aca="false">IF(MONTH(AE5)&lt;&gt;MONTH(AD5),AE5,"")</f>
        <v/>
      </c>
      <c r="AF4" s="29" t="str">
        <f aca="false">IF(MONTH(AF5)&lt;&gt;MONTH(AE5),AF5,"")</f>
        <v/>
      </c>
      <c r="AG4" s="29" t="n">
        <f aca="false">IF(MONTH(AG5)&lt;&gt;MONTH(AF5),AG5,"")</f>
        <v>46447</v>
      </c>
      <c r="AH4" s="29" t="str">
        <f aca="false">IF(MONTH(AH5)&lt;&gt;MONTH(AG5),AH5,"")</f>
        <v/>
      </c>
      <c r="AI4" s="29" t="str">
        <f aca="false">IF(MONTH(AI5)&lt;&gt;MONTH(AH5),AI5,"")</f>
        <v/>
      </c>
      <c r="AJ4" s="29" t="str">
        <f aca="false">IF(MONTH(AJ5)&lt;&gt;MONTH(AI5),AJ5,"")</f>
        <v/>
      </c>
      <c r="AK4" s="29" t="str">
        <f aca="false">IF(MONTH(AK5)&lt;&gt;MONTH(AJ5),AK5,"")</f>
        <v/>
      </c>
      <c r="AL4" s="29" t="n">
        <f aca="false">IF(MONTH(AL5)&lt;&gt;MONTH(AK5),AL5,"")</f>
        <v>46482</v>
      </c>
      <c r="AM4" s="29" t="str">
        <f aca="false">IF(MONTH(AM5)&lt;&gt;MONTH(AL5),AM5,"")</f>
        <v/>
      </c>
      <c r="AN4" s="29" t="str">
        <f aca="false">IF(MONTH(AN5)&lt;&gt;MONTH(AM5),AN5,"")</f>
        <v/>
      </c>
      <c r="AO4" s="29" t="str">
        <f aca="false">IF(MONTH(AO5)&lt;&gt;MONTH(AN5),AO5,"")</f>
        <v/>
      </c>
      <c r="AP4" s="29" t="n">
        <f aca="false">IF(MONTH(AP5)&lt;&gt;MONTH(AO5),AP5,"")</f>
        <v>46510</v>
      </c>
      <c r="AQ4" s="29" t="str">
        <f aca="false">IF(MONTH(AQ5)&lt;&gt;MONTH(AP5),AQ5,"")</f>
        <v/>
      </c>
    </row>
    <row r="5" customFormat="false" ht="42" hidden="false" customHeight="true" outlineLevel="0" collapsed="false">
      <c r="A5" s="14" t="s">
        <v>86</v>
      </c>
      <c r="B5" s="14" t="s">
        <v>87</v>
      </c>
      <c r="C5" s="14" t="s">
        <v>88</v>
      </c>
      <c r="D5" s="14" t="s">
        <v>89</v>
      </c>
      <c r="E5" s="14" t="s">
        <v>90</v>
      </c>
      <c r="F5" s="14" t="s">
        <v>91</v>
      </c>
      <c r="G5" s="14" t="s">
        <v>92</v>
      </c>
      <c r="H5" s="14" t="s">
        <v>93</v>
      </c>
      <c r="I5" s="14" t="s">
        <v>94</v>
      </c>
      <c r="J5" s="14" t="s">
        <v>95</v>
      </c>
      <c r="K5" s="30" t="n">
        <f aca="false">InicioProyecto-WEEKDAY(InicioProyecto,2)+1</f>
        <v>46293</v>
      </c>
      <c r="L5" s="30" t="n">
        <f aca="false">K5+7</f>
        <v>46300</v>
      </c>
      <c r="M5" s="30" t="n">
        <f aca="false">L5+7</f>
        <v>46307</v>
      </c>
      <c r="N5" s="30" t="n">
        <f aca="false">M5+7</f>
        <v>46314</v>
      </c>
      <c r="O5" s="30" t="n">
        <f aca="false">N5+7</f>
        <v>46321</v>
      </c>
      <c r="P5" s="30" t="n">
        <f aca="false">O5+7</f>
        <v>46328</v>
      </c>
      <c r="Q5" s="30" t="n">
        <f aca="false">P5+7</f>
        <v>46335</v>
      </c>
      <c r="R5" s="30" t="n">
        <f aca="false">Q5+7</f>
        <v>46342</v>
      </c>
      <c r="S5" s="30" t="n">
        <f aca="false">R5+7</f>
        <v>46349</v>
      </c>
      <c r="T5" s="30" t="n">
        <f aca="false">S5+7</f>
        <v>46356</v>
      </c>
      <c r="U5" s="30" t="n">
        <f aca="false">T5+7</f>
        <v>46363</v>
      </c>
      <c r="V5" s="30" t="n">
        <f aca="false">U5+7</f>
        <v>46370</v>
      </c>
      <c r="W5" s="30" t="n">
        <f aca="false">V5+7</f>
        <v>46377</v>
      </c>
      <c r="X5" s="30" t="n">
        <f aca="false">W5+7</f>
        <v>46384</v>
      </c>
      <c r="Y5" s="30" t="n">
        <f aca="false">X5+7</f>
        <v>46391</v>
      </c>
      <c r="Z5" s="30" t="n">
        <f aca="false">Y5+7</f>
        <v>46398</v>
      </c>
      <c r="AA5" s="30" t="n">
        <f aca="false">Z5+7</f>
        <v>46405</v>
      </c>
      <c r="AB5" s="30" t="n">
        <f aca="false">AA5+7</f>
        <v>46412</v>
      </c>
      <c r="AC5" s="30" t="n">
        <f aca="false">AB5+7</f>
        <v>46419</v>
      </c>
      <c r="AD5" s="30" t="n">
        <f aca="false">AC5+7</f>
        <v>46426</v>
      </c>
      <c r="AE5" s="30" t="n">
        <f aca="false">AD5+7</f>
        <v>46433</v>
      </c>
      <c r="AF5" s="30" t="n">
        <f aca="false">AE5+7</f>
        <v>46440</v>
      </c>
      <c r="AG5" s="30" t="n">
        <f aca="false">AF5+7</f>
        <v>46447</v>
      </c>
      <c r="AH5" s="30" t="n">
        <f aca="false">AG5+7</f>
        <v>46454</v>
      </c>
      <c r="AI5" s="30" t="n">
        <f aca="false">AH5+7</f>
        <v>46461</v>
      </c>
      <c r="AJ5" s="30" t="n">
        <f aca="false">AI5+7</f>
        <v>46468</v>
      </c>
      <c r="AK5" s="30" t="n">
        <f aca="false">AJ5+7</f>
        <v>46475</v>
      </c>
      <c r="AL5" s="30" t="n">
        <f aca="false">AK5+7</f>
        <v>46482</v>
      </c>
      <c r="AM5" s="30" t="n">
        <f aca="false">AL5+7</f>
        <v>46489</v>
      </c>
      <c r="AN5" s="30" t="n">
        <f aca="false">AM5+7</f>
        <v>46496</v>
      </c>
      <c r="AO5" s="30" t="n">
        <f aca="false">AN5+7</f>
        <v>46503</v>
      </c>
      <c r="AP5" s="30" t="n">
        <f aca="false">AO5+7</f>
        <v>46510</v>
      </c>
      <c r="AQ5" s="30" t="n">
        <f aca="false">AP5+7</f>
        <v>46517</v>
      </c>
    </row>
    <row r="6" customFormat="false" ht="15" hidden="false" customHeight="false" outlineLevel="0" collapsed="false">
      <c r="A6" s="31" t="s">
        <v>96</v>
      </c>
      <c r="B6" s="32" t="s">
        <v>97</v>
      </c>
      <c r="C6" s="33" t="s">
        <v>98</v>
      </c>
      <c r="D6" s="34" t="n">
        <f aca="false">NETWORKDAYS(G6,H6,Feriados)</f>
        <v>133</v>
      </c>
      <c r="E6" s="35" t="s">
        <v>99</v>
      </c>
      <c r="F6" s="34"/>
      <c r="G6" s="36" t="n">
        <f aca="false">MAX(InicioProyecto,WORKDAY(MAX(H8,H9,H10),1,Feriados))</f>
        <v>46308</v>
      </c>
      <c r="H6" s="36" t="n">
        <f aca="false">MAX(H7:H36)</f>
        <v>46507</v>
      </c>
      <c r="I6" s="37"/>
      <c r="J6" s="38"/>
    </row>
    <row r="7" customFormat="false" ht="15" hidden="false" customHeight="false" outlineLevel="0" collapsed="false">
      <c r="A7" s="5" t="s">
        <v>100</v>
      </c>
      <c r="B7" s="5" t="s">
        <v>101</v>
      </c>
      <c r="C7" s="33" t="s">
        <v>98</v>
      </c>
      <c r="D7" s="37" t="n">
        <v>2</v>
      </c>
      <c r="E7" s="35" t="s">
        <v>102</v>
      </c>
      <c r="F7" s="34"/>
      <c r="G7" s="36" t="n">
        <f aca="false">MAX(InicioProyecto,N(F7))</f>
        <v>46296</v>
      </c>
      <c r="H7" s="36" t="n">
        <f aca="false">WORKDAY(G7,D7-1,Feriados)</f>
        <v>46297</v>
      </c>
      <c r="I7" s="37" t="s">
        <v>103</v>
      </c>
      <c r="J7" s="38"/>
    </row>
    <row r="8" customFormat="false" ht="15" hidden="false" customHeight="false" outlineLevel="0" collapsed="false">
      <c r="A8" s="5" t="s">
        <v>104</v>
      </c>
      <c r="B8" s="5" t="s">
        <v>105</v>
      </c>
      <c r="C8" s="33" t="s">
        <v>98</v>
      </c>
      <c r="D8" s="37" t="n">
        <v>5</v>
      </c>
      <c r="E8" s="35" t="s">
        <v>100</v>
      </c>
      <c r="F8" s="34"/>
      <c r="G8" s="36" t="n">
        <f aca="false">MAX(InicioProyecto,N(F8),WORKDAY(MAX(H7),1,Feriados))</f>
        <v>46300</v>
      </c>
      <c r="H8" s="36" t="n">
        <f aca="false">WORKDAY(G8,D8-1,Feriados)</f>
        <v>46304</v>
      </c>
      <c r="I8" s="37" t="s">
        <v>103</v>
      </c>
      <c r="J8" s="38"/>
    </row>
    <row r="9" customFormat="false" ht="15" hidden="false" customHeight="false" outlineLevel="0" collapsed="false">
      <c r="A9" s="5" t="s">
        <v>106</v>
      </c>
      <c r="B9" s="5" t="s">
        <v>107</v>
      </c>
      <c r="C9" s="33" t="s">
        <v>98</v>
      </c>
      <c r="D9" s="37" t="n">
        <v>5</v>
      </c>
      <c r="E9" s="35" t="s">
        <v>100</v>
      </c>
      <c r="F9" s="34"/>
      <c r="G9" s="36" t="n">
        <f aca="false">MAX(InicioProyecto,N(F9),WORKDAY(MAX(H7),1,Feriados))</f>
        <v>46300</v>
      </c>
      <c r="H9" s="36" t="n">
        <f aca="false">WORKDAY(G9,D9-1,Feriados)</f>
        <v>46304</v>
      </c>
      <c r="I9" s="37"/>
      <c r="J9" s="38"/>
    </row>
    <row r="10" customFormat="false" ht="15" hidden="false" customHeight="false" outlineLevel="0" collapsed="false">
      <c r="A10" s="5" t="s">
        <v>108</v>
      </c>
      <c r="B10" s="5" t="s">
        <v>109</v>
      </c>
      <c r="C10" s="33" t="s">
        <v>98</v>
      </c>
      <c r="D10" s="37" t="n">
        <v>5</v>
      </c>
      <c r="E10" s="35" t="s">
        <v>100</v>
      </c>
      <c r="F10" s="34"/>
      <c r="G10" s="36" t="n">
        <f aca="false">MAX(InicioProyecto,N(F10),WORKDAY(MAX(H7),1,Feriados))</f>
        <v>46300</v>
      </c>
      <c r="H10" s="36" t="n">
        <f aca="false">WORKDAY(G10,D10-1,Feriados)</f>
        <v>46304</v>
      </c>
      <c r="I10" s="37"/>
      <c r="J10" s="38"/>
    </row>
    <row r="11" customFormat="false" ht="15" hidden="false" customHeight="false" outlineLevel="0" collapsed="false">
      <c r="A11" s="5" t="s">
        <v>110</v>
      </c>
      <c r="B11" s="5" t="s">
        <v>111</v>
      </c>
      <c r="C11" s="33" t="s">
        <v>98</v>
      </c>
      <c r="D11" s="37" t="n">
        <v>5</v>
      </c>
      <c r="E11" s="35" t="s">
        <v>112</v>
      </c>
      <c r="F11" s="34"/>
      <c r="G11" s="36" t="n">
        <f aca="false">MAX(InicioProyecto,N(F11),IF(Solapes=1,MAX(WORKDAY(WORKDAY(H35,Parámetros!$B$13,Feriados),-(D11-1),Feriados),WORKDAY(WORKDAY(H36,Parámetros!$B$13,Feriados),-(D11-1),Feriados)),WORKDAY(MAX(H35,H36),1,Feriados)))</f>
        <v>46503</v>
      </c>
      <c r="H11" s="36" t="n">
        <f aca="false">WORKDAY(G11,D11-1,Feriados)</f>
        <v>46507</v>
      </c>
      <c r="I11" s="37" t="s">
        <v>103</v>
      </c>
      <c r="J11" s="38"/>
    </row>
    <row r="12" customFormat="false" ht="15" hidden="false" customHeight="false" outlineLevel="0" collapsed="false">
      <c r="A12" s="5" t="s">
        <v>113</v>
      </c>
      <c r="B12" s="5" t="s">
        <v>114</v>
      </c>
      <c r="C12" s="33" t="s">
        <v>115</v>
      </c>
      <c r="D12" s="37" t="n">
        <v>10</v>
      </c>
      <c r="E12" s="35" t="s">
        <v>104</v>
      </c>
      <c r="F12" s="34"/>
      <c r="G12" s="36" t="n">
        <f aca="false">MAX(InicioProyecto,N(F12),WORKDAY(MAX(H8),1,Feriados))</f>
        <v>46308</v>
      </c>
      <c r="H12" s="36" t="n">
        <f aca="false">WORKDAY(G12,D12-1,Feriados)</f>
        <v>46321</v>
      </c>
      <c r="I12" s="37" t="s">
        <v>103</v>
      </c>
      <c r="J12" s="38"/>
    </row>
    <row r="13" customFormat="false" ht="15" hidden="false" customHeight="false" outlineLevel="0" collapsed="false">
      <c r="A13" s="5" t="s">
        <v>116</v>
      </c>
      <c r="B13" s="5" t="s">
        <v>117</v>
      </c>
      <c r="C13" s="33" t="s">
        <v>118</v>
      </c>
      <c r="D13" s="37" t="n">
        <v>15</v>
      </c>
      <c r="E13" s="35" t="s">
        <v>113</v>
      </c>
      <c r="F13" s="34"/>
      <c r="G13" s="36" t="n">
        <f aca="false">MAX(InicioProyecto,N(F13),WORKDAY(MAX(H12),1,Feriados))</f>
        <v>46322</v>
      </c>
      <c r="H13" s="36" t="n">
        <f aca="false">WORKDAY(G13,D13-1,Feriados)</f>
        <v>46342</v>
      </c>
      <c r="I13" s="37"/>
      <c r="J13" s="38"/>
    </row>
    <row r="14" customFormat="false" ht="15" hidden="false" customHeight="false" outlineLevel="0" collapsed="false">
      <c r="A14" s="5" t="s">
        <v>119</v>
      </c>
      <c r="B14" s="5" t="s">
        <v>120</v>
      </c>
      <c r="C14" s="33" t="s">
        <v>121</v>
      </c>
      <c r="D14" s="37" t="n">
        <v>16</v>
      </c>
      <c r="E14" s="35" t="s">
        <v>113</v>
      </c>
      <c r="F14" s="34"/>
      <c r="G14" s="36" t="n">
        <f aca="false">MAX(InicioProyecto,N(F14),WORKDAY(MAX(H12),1,Feriados))</f>
        <v>46322</v>
      </c>
      <c r="H14" s="36" t="n">
        <f aca="false">WORKDAY(G14,D14-1,Feriados)</f>
        <v>46343</v>
      </c>
      <c r="I14" s="37" t="s">
        <v>103</v>
      </c>
      <c r="J14" s="38"/>
    </row>
    <row r="15" customFormat="false" ht="15" hidden="false" customHeight="false" outlineLevel="0" collapsed="false">
      <c r="A15" s="5" t="s">
        <v>122</v>
      </c>
      <c r="B15" s="5" t="s">
        <v>123</v>
      </c>
      <c r="C15" s="33" t="s">
        <v>121</v>
      </c>
      <c r="D15" s="37" t="n">
        <v>15</v>
      </c>
      <c r="E15" s="35" t="s">
        <v>113</v>
      </c>
      <c r="F15" s="34"/>
      <c r="G15" s="36" t="n">
        <f aca="false">MAX(InicioProyecto,N(F15),WORKDAY(MAX(H12),1,Feriados))</f>
        <v>46322</v>
      </c>
      <c r="H15" s="36" t="n">
        <f aca="false">WORKDAY(G15,D15-1,Feriados)</f>
        <v>46342</v>
      </c>
      <c r="I15" s="37"/>
      <c r="J15" s="38"/>
    </row>
    <row r="16" customFormat="false" ht="15" hidden="false" customHeight="false" outlineLevel="0" collapsed="false">
      <c r="A16" s="5" t="s">
        <v>124</v>
      </c>
      <c r="B16" s="5" t="s">
        <v>125</v>
      </c>
      <c r="C16" s="33" t="s">
        <v>126</v>
      </c>
      <c r="D16" s="37" t="n">
        <v>12</v>
      </c>
      <c r="E16" s="35" t="s">
        <v>119</v>
      </c>
      <c r="F16" s="34"/>
      <c r="G16" s="36" t="n">
        <f aca="false">MAX(InicioProyecto,N(F16),WORKDAY(MAX(H14),1,Feriados))</f>
        <v>46344</v>
      </c>
      <c r="H16" s="36" t="n">
        <f aca="false">WORKDAY(G16,D16-1,Feriados)</f>
        <v>46360</v>
      </c>
      <c r="I16" s="37" t="s">
        <v>103</v>
      </c>
      <c r="J16" s="38"/>
    </row>
    <row r="17" customFormat="false" ht="15" hidden="false" customHeight="false" outlineLevel="0" collapsed="false">
      <c r="A17" s="5" t="s">
        <v>127</v>
      </c>
      <c r="B17" s="5" t="s">
        <v>128</v>
      </c>
      <c r="C17" s="33" t="s">
        <v>126</v>
      </c>
      <c r="D17" s="37" t="n">
        <v>15</v>
      </c>
      <c r="E17" s="35" t="s">
        <v>129</v>
      </c>
      <c r="F17" s="34"/>
      <c r="G17" s="36" t="n">
        <f aca="false">MAX(InicioProyecto,N(F17),WORKDAY(MAX(H16,H22),1,Feriados))</f>
        <v>46365</v>
      </c>
      <c r="H17" s="36" t="n">
        <f aca="false">WORKDAY(G17,D17-1,Feriados)</f>
        <v>46386</v>
      </c>
      <c r="I17" s="37" t="s">
        <v>103</v>
      </c>
      <c r="J17" s="38"/>
    </row>
    <row r="18" customFormat="false" ht="15" hidden="false" customHeight="false" outlineLevel="0" collapsed="false">
      <c r="A18" s="5" t="s">
        <v>130</v>
      </c>
      <c r="B18" s="5" t="s">
        <v>131</v>
      </c>
      <c r="C18" s="33" t="s">
        <v>132</v>
      </c>
      <c r="D18" s="37" t="n">
        <v>15</v>
      </c>
      <c r="E18" s="35" t="s">
        <v>113</v>
      </c>
      <c r="F18" s="34"/>
      <c r="G18" s="36" t="n">
        <f aca="false">MAX(InicioProyecto,N(F18),WORKDAY(MAX(H12),1,Feriados))</f>
        <v>46322</v>
      </c>
      <c r="H18" s="36" t="n">
        <f aca="false">WORKDAY(G18,D18-1,Feriados)</f>
        <v>46342</v>
      </c>
      <c r="I18" s="37"/>
      <c r="J18" s="38"/>
    </row>
    <row r="19" customFormat="false" ht="15" hidden="false" customHeight="false" outlineLevel="0" collapsed="false">
      <c r="A19" s="5" t="s">
        <v>133</v>
      </c>
      <c r="B19" s="5" t="s">
        <v>134</v>
      </c>
      <c r="C19" s="33" t="s">
        <v>126</v>
      </c>
      <c r="D19" s="37" t="n">
        <v>10</v>
      </c>
      <c r="E19" s="35" t="s">
        <v>135</v>
      </c>
      <c r="F19" s="34"/>
      <c r="G19" s="36" t="n">
        <f aca="false">MAX(InicioProyecto,N(F19),WORKDAY(MAX(H18,H23),1,Feriados))</f>
        <v>46343</v>
      </c>
      <c r="H19" s="36" t="n">
        <f aca="false">WORKDAY(G19,D19-1,Feriados)</f>
        <v>46357</v>
      </c>
      <c r="I19" s="37"/>
      <c r="J19" s="38"/>
    </row>
    <row r="20" customFormat="false" ht="15" hidden="false" customHeight="false" outlineLevel="0" collapsed="false">
      <c r="A20" s="5" t="s">
        <v>136</v>
      </c>
      <c r="B20" s="5" t="s">
        <v>137</v>
      </c>
      <c r="C20" s="33" t="s">
        <v>121</v>
      </c>
      <c r="D20" s="37" t="n">
        <v>12</v>
      </c>
      <c r="E20" s="35" t="s">
        <v>138</v>
      </c>
      <c r="F20" s="34"/>
      <c r="G20" s="36" t="n">
        <f aca="false">MAX(InicioProyecto,N(F20),WORKDAY(MAX(H16,H17,H18),1,Feriados))</f>
        <v>46387</v>
      </c>
      <c r="H20" s="36" t="n">
        <f aca="false">WORKDAY(G20,D20-1,Feriados)</f>
        <v>46405</v>
      </c>
      <c r="I20" s="37" t="s">
        <v>103</v>
      </c>
      <c r="J20" s="38"/>
    </row>
    <row r="21" customFormat="false" ht="15" hidden="false" customHeight="false" outlineLevel="0" collapsed="false">
      <c r="A21" s="5" t="s">
        <v>139</v>
      </c>
      <c r="B21" s="5" t="s">
        <v>140</v>
      </c>
      <c r="C21" s="33" t="s">
        <v>141</v>
      </c>
      <c r="D21" s="37" t="n">
        <v>12</v>
      </c>
      <c r="E21" s="35" t="s">
        <v>104</v>
      </c>
      <c r="F21" s="34"/>
      <c r="G21" s="36" t="n">
        <f aca="false">MAX(InicioProyecto,N(F21),WORKDAY(MAX(H8),1,Feriados))</f>
        <v>46308</v>
      </c>
      <c r="H21" s="36" t="n">
        <f aca="false">WORKDAY(G21,D21-1,Feriados)</f>
        <v>46323</v>
      </c>
      <c r="I21" s="37"/>
      <c r="J21" s="38"/>
    </row>
    <row r="22" customFormat="false" ht="15" hidden="false" customHeight="false" outlineLevel="0" collapsed="false">
      <c r="A22" s="5" t="s">
        <v>142</v>
      </c>
      <c r="B22" s="5" t="s">
        <v>143</v>
      </c>
      <c r="C22" s="33" t="s">
        <v>141</v>
      </c>
      <c r="D22" s="37" t="n">
        <v>10</v>
      </c>
      <c r="E22" s="35" t="s">
        <v>139</v>
      </c>
      <c r="F22" s="34"/>
      <c r="G22" s="36" t="n">
        <f aca="false">MAX(InicioProyecto,N(F22),WORKDAY(MAX(H21),1,Feriados))</f>
        <v>46324</v>
      </c>
      <c r="H22" s="36" t="n">
        <f aca="false">WORKDAY(G22,D22-1,Feriados)</f>
        <v>46337</v>
      </c>
      <c r="I22" s="37"/>
      <c r="J22" s="38"/>
    </row>
    <row r="23" customFormat="false" ht="15" hidden="false" customHeight="false" outlineLevel="0" collapsed="false">
      <c r="A23" s="5" t="s">
        <v>144</v>
      </c>
      <c r="B23" s="5" t="s">
        <v>145</v>
      </c>
      <c r="C23" s="33" t="s">
        <v>126</v>
      </c>
      <c r="D23" s="37" t="n">
        <v>10</v>
      </c>
      <c r="E23" s="35" t="s">
        <v>139</v>
      </c>
      <c r="F23" s="34"/>
      <c r="G23" s="36" t="n">
        <f aca="false">MAX(InicioProyecto,N(F23),WORKDAY(MAX(H21),1,Feriados))</f>
        <v>46324</v>
      </c>
      <c r="H23" s="36" t="n">
        <f aca="false">WORKDAY(G23,D23-1,Feriados)</f>
        <v>46337</v>
      </c>
      <c r="I23" s="37"/>
      <c r="J23" s="38"/>
    </row>
    <row r="24" customFormat="false" ht="15" hidden="false" customHeight="false" outlineLevel="0" collapsed="false">
      <c r="A24" s="5" t="s">
        <v>146</v>
      </c>
      <c r="B24" s="5" t="s">
        <v>147</v>
      </c>
      <c r="C24" s="33" t="s">
        <v>148</v>
      </c>
      <c r="D24" s="37" t="n">
        <v>15</v>
      </c>
      <c r="E24" s="35" t="s">
        <v>149</v>
      </c>
      <c r="F24" s="34"/>
      <c r="G24" s="36" t="n">
        <f aca="false">MAX(InicioProyecto,N(F24),WORKDAY(MAX(H22,H23),1,Feriados))</f>
        <v>46338</v>
      </c>
      <c r="H24" s="36" t="n">
        <f aca="false">WORKDAY(G24,D24-1,Feriados)</f>
        <v>46359</v>
      </c>
      <c r="I24" s="37"/>
      <c r="J24" s="38"/>
    </row>
    <row r="25" customFormat="false" ht="15" hidden="false" customHeight="false" outlineLevel="0" collapsed="false">
      <c r="A25" s="5" t="s">
        <v>150</v>
      </c>
      <c r="B25" s="5" t="s">
        <v>151</v>
      </c>
      <c r="C25" s="33" t="s">
        <v>148</v>
      </c>
      <c r="D25" s="37" t="n">
        <v>12</v>
      </c>
      <c r="E25" s="35" t="s">
        <v>152</v>
      </c>
      <c r="F25" s="34"/>
      <c r="G25" s="36" t="n">
        <f aca="false">MAX(InicioProyecto,N(F25),WORKDAY(MAX(H24),1,Feriados),WORKDAY(G17,Parámetros!$B$11,Feriados))</f>
        <v>46379</v>
      </c>
      <c r="H25" s="36" t="n">
        <f aca="false">WORKDAY(G25,D25-1,Feriados)</f>
        <v>46398</v>
      </c>
      <c r="I25" s="37"/>
      <c r="J25" s="38"/>
    </row>
    <row r="26" customFormat="false" ht="15" hidden="false" customHeight="false" outlineLevel="0" collapsed="false">
      <c r="A26" s="5" t="s">
        <v>153</v>
      </c>
      <c r="B26" s="5" t="s">
        <v>154</v>
      </c>
      <c r="C26" s="33" t="s">
        <v>155</v>
      </c>
      <c r="D26" s="37" t="n">
        <v>10</v>
      </c>
      <c r="E26" s="35" t="s">
        <v>108</v>
      </c>
      <c r="F26" s="34"/>
      <c r="G26" s="36" t="n">
        <f aca="false">MAX(InicioProyecto,N(F26),WORKDAY(MAX(H10),1,Feriados))</f>
        <v>46308</v>
      </c>
      <c r="H26" s="36" t="n">
        <f aca="false">WORKDAY(G26,D26-1,Feriados)</f>
        <v>46321</v>
      </c>
      <c r="I26" s="37"/>
      <c r="J26" s="38"/>
    </row>
    <row r="27" customFormat="false" ht="15" hidden="false" customHeight="false" outlineLevel="0" collapsed="false">
      <c r="A27" s="5" t="s">
        <v>156</v>
      </c>
      <c r="B27" s="5" t="s">
        <v>157</v>
      </c>
      <c r="C27" s="33" t="s">
        <v>155</v>
      </c>
      <c r="D27" s="37" t="n">
        <v>10</v>
      </c>
      <c r="E27" s="35" t="s">
        <v>153</v>
      </c>
      <c r="F27" s="34"/>
      <c r="G27" s="36" t="n">
        <f aca="false">MAX(InicioProyecto,N(F27),WORKDAY(MAX(H26),1,Feriados))</f>
        <v>46322</v>
      </c>
      <c r="H27" s="36" t="n">
        <f aca="false">WORKDAY(G27,D27-1,Feriados)</f>
        <v>46335</v>
      </c>
      <c r="I27" s="37"/>
      <c r="J27" s="38"/>
    </row>
    <row r="28" customFormat="false" ht="15" hidden="false" customHeight="false" outlineLevel="0" collapsed="false">
      <c r="A28" s="5" t="s">
        <v>158</v>
      </c>
      <c r="B28" s="5" t="s">
        <v>159</v>
      </c>
      <c r="C28" s="33" t="s">
        <v>155</v>
      </c>
      <c r="D28" s="37" t="n">
        <v>15</v>
      </c>
      <c r="E28" s="35" t="s">
        <v>156</v>
      </c>
      <c r="F28" s="39" t="n">
        <v>46447</v>
      </c>
      <c r="G28" s="36" t="n">
        <f aca="false">MAX(InicioProyecto,N(F28),WORKDAY(MAX(H27),1,Feriados))</f>
        <v>46447</v>
      </c>
      <c r="H28" s="36" t="n">
        <f aca="false">WORKDAY(G28,D28-1,Feriados)</f>
        <v>46465</v>
      </c>
      <c r="I28" s="37"/>
      <c r="J28" s="38" t="s">
        <v>160</v>
      </c>
    </row>
    <row r="29" customFormat="false" ht="15" hidden="false" customHeight="false" outlineLevel="0" collapsed="false">
      <c r="A29" s="5" t="s">
        <v>161</v>
      </c>
      <c r="B29" s="5" t="s">
        <v>162</v>
      </c>
      <c r="C29" s="33" t="s">
        <v>155</v>
      </c>
      <c r="D29" s="37" t="n">
        <v>15</v>
      </c>
      <c r="E29" s="35" t="s">
        <v>156</v>
      </c>
      <c r="F29" s="34"/>
      <c r="G29" s="36" t="n">
        <f aca="false">MAX(InicioProyecto,N(F29),WORKDAY(MAX(H27),1,Feriados))</f>
        <v>46336</v>
      </c>
      <c r="H29" s="36" t="n">
        <f aca="false">WORKDAY(G29,D29-1,Feriados)</f>
        <v>46357</v>
      </c>
      <c r="I29" s="37"/>
      <c r="J29" s="38" t="str">
        <f aca="false">IF(AND(G29&lt;=BalFin,H29&gt;=BalIni),"⚠ cae en ventana","OK")</f>
        <v>OK</v>
      </c>
    </row>
    <row r="30" customFormat="false" ht="15" hidden="false" customHeight="false" outlineLevel="0" collapsed="false">
      <c r="A30" s="5" t="s">
        <v>163</v>
      </c>
      <c r="B30" s="5" t="s">
        <v>164</v>
      </c>
      <c r="C30" s="33" t="s">
        <v>155</v>
      </c>
      <c r="D30" s="37" t="n">
        <v>10</v>
      </c>
      <c r="E30" s="35" t="s">
        <v>161</v>
      </c>
      <c r="F30" s="34"/>
      <c r="G30" s="36" t="n">
        <f aca="false">MAX(InicioProyecto,N(F30),WORKDAY(MAX(H29),1,Feriados))</f>
        <v>46358</v>
      </c>
      <c r="H30" s="36" t="n">
        <f aca="false">WORKDAY(G30,D30-1,Feriados)</f>
        <v>46373</v>
      </c>
      <c r="I30" s="37"/>
      <c r="J30" s="38"/>
    </row>
    <row r="31" customFormat="false" ht="15" hidden="false" customHeight="false" outlineLevel="0" collapsed="false">
      <c r="A31" s="5" t="s">
        <v>165</v>
      </c>
      <c r="B31" s="5" t="s">
        <v>166</v>
      </c>
      <c r="C31" s="33" t="s">
        <v>167</v>
      </c>
      <c r="D31" s="37" t="n">
        <v>12</v>
      </c>
      <c r="E31" s="35" t="s">
        <v>106</v>
      </c>
      <c r="F31" s="34"/>
      <c r="G31" s="36" t="n">
        <f aca="false">MAX(InicioProyecto,N(F31),WORKDAY(MAX(H9),1,Feriados))</f>
        <v>46308</v>
      </c>
      <c r="H31" s="36" t="n">
        <f aca="false">WORKDAY(G31,D31-1,Feriados)</f>
        <v>46323</v>
      </c>
      <c r="I31" s="37"/>
      <c r="J31" s="38"/>
    </row>
    <row r="32" customFormat="false" ht="15" hidden="false" customHeight="false" outlineLevel="0" collapsed="false">
      <c r="A32" s="5" t="s">
        <v>168</v>
      </c>
      <c r="B32" s="5" t="s">
        <v>169</v>
      </c>
      <c r="C32" s="33" t="s">
        <v>170</v>
      </c>
      <c r="D32" s="37" t="n">
        <v>20</v>
      </c>
      <c r="E32" s="35" t="s">
        <v>171</v>
      </c>
      <c r="F32" s="34"/>
      <c r="G32" s="36" t="n">
        <f aca="false">MAX(InicioProyecto,N(F32),WORKDAY(MAX(H13,H14,H15,H18,H21,H27,H31),1,Feriados))</f>
        <v>46344</v>
      </c>
      <c r="H32" s="36" t="n">
        <f aca="false">WORKDAY(G32,D32-1,Feriados)</f>
        <v>46374</v>
      </c>
      <c r="I32" s="37"/>
      <c r="J32" s="38"/>
    </row>
    <row r="33" customFormat="false" ht="15" hidden="false" customHeight="false" outlineLevel="0" collapsed="false">
      <c r="A33" s="5" t="s">
        <v>172</v>
      </c>
      <c r="B33" s="5" t="s">
        <v>173</v>
      </c>
      <c r="C33" s="33" t="s">
        <v>174</v>
      </c>
      <c r="D33" s="37" t="n">
        <v>4</v>
      </c>
      <c r="E33" s="35" t="s">
        <v>175</v>
      </c>
      <c r="F33" s="40" t="n">
        <v>46462</v>
      </c>
      <c r="G33" s="36" t="n">
        <f aca="false">MAX(InicioProyecto,N(F33),WORKDAY(MAX(H17,H19,H20,H25,H30,H32),1,Feriados))</f>
        <v>46462</v>
      </c>
      <c r="H33" s="36" t="n">
        <f aca="false">WORKDAY(G33,D33-1,Feriados)</f>
        <v>46465</v>
      </c>
      <c r="I33" s="37" t="s">
        <v>103</v>
      </c>
      <c r="J33" s="38" t="str">
        <f aca="false">IF(AND(G33&lt;=BalFin,H33&gt;=BalIni),"⚠ cae en ventana","OK")</f>
        <v>OK</v>
      </c>
    </row>
    <row r="34" customFormat="false" ht="15" hidden="false" customHeight="false" outlineLevel="0" collapsed="false">
      <c r="A34" s="5" t="s">
        <v>176</v>
      </c>
      <c r="B34" s="5" t="s">
        <v>177</v>
      </c>
      <c r="C34" s="33" t="s">
        <v>178</v>
      </c>
      <c r="D34" s="37" t="n">
        <v>20</v>
      </c>
      <c r="E34" s="35" t="s">
        <v>179</v>
      </c>
      <c r="F34" s="40" t="n">
        <v>46477</v>
      </c>
      <c r="G34" s="36" t="n">
        <f aca="false">MAX(InicioProyecto,N(F34),WORKDAY(MAX(H33,H28),1,Feriados))</f>
        <v>46477</v>
      </c>
      <c r="H34" s="36" t="n">
        <f aca="false">WORKDAY(G34,D34-1,Feriados)</f>
        <v>46505</v>
      </c>
      <c r="I34" s="37" t="s">
        <v>103</v>
      </c>
      <c r="J34" s="38" t="str">
        <f aca="false">IF(AND(G34&lt;=BalFin,H34&gt;=BalIni),"⚠ cae en ventana","OK")</f>
        <v>OK</v>
      </c>
    </row>
    <row r="35" customFormat="false" ht="15" hidden="false" customHeight="false" outlineLevel="0" collapsed="false">
      <c r="A35" s="5" t="s">
        <v>180</v>
      </c>
      <c r="B35" s="5" t="s">
        <v>181</v>
      </c>
      <c r="C35" s="33" t="s">
        <v>182</v>
      </c>
      <c r="D35" s="37" t="n">
        <v>10</v>
      </c>
      <c r="E35" s="35" t="s">
        <v>183</v>
      </c>
      <c r="F35" s="34"/>
      <c r="G35" s="36" t="n">
        <f aca="false">MAX(InicioProyecto,N(F35),IF(Solapes=1,WORKDAY(WORKDAY(H34,Parámetros!$B$12,Feriados),-(D35-1),Feriados),WORKDAY(H34,1,Feriados)))</f>
        <v>46496</v>
      </c>
      <c r="H35" s="36" t="n">
        <f aca="false">WORKDAY(G35,D35-1,Feriados)</f>
        <v>46507</v>
      </c>
      <c r="I35" s="37" t="s">
        <v>103</v>
      </c>
      <c r="J35" s="38"/>
    </row>
    <row r="36" customFormat="false" ht="15" hidden="false" customHeight="false" outlineLevel="0" collapsed="false">
      <c r="A36" s="5" t="s">
        <v>184</v>
      </c>
      <c r="B36" s="5" t="s">
        <v>185</v>
      </c>
      <c r="C36" s="33" t="s">
        <v>186</v>
      </c>
      <c r="D36" s="37" t="n">
        <v>10</v>
      </c>
      <c r="E36" s="35" t="s">
        <v>183</v>
      </c>
      <c r="F36" s="34"/>
      <c r="G36" s="36" t="n">
        <f aca="false">MAX(InicioProyecto,N(F36),IF(Solapes=1,WORKDAY(WORKDAY(H34,Parámetros!$B$12,Feriados),-(D36-1),Feriados),WORKDAY(H34,1,Feriados)))</f>
        <v>46496</v>
      </c>
      <c r="H36" s="36" t="n">
        <f aca="false">WORKDAY(G36,D36-1,Feriados)</f>
        <v>46507</v>
      </c>
      <c r="I36" s="37" t="s">
        <v>103</v>
      </c>
      <c r="J36" s="38"/>
    </row>
    <row r="38" customFormat="false" ht="30" hidden="false" customHeight="true" outlineLevel="0" collapsed="false">
      <c r="A38" s="14" t="s">
        <v>86</v>
      </c>
      <c r="B38" s="14" t="s">
        <v>187</v>
      </c>
      <c r="C38" s="14" t="s">
        <v>188</v>
      </c>
      <c r="D38" s="14"/>
      <c r="E38" s="14" t="s">
        <v>189</v>
      </c>
      <c r="F38" s="14" t="s">
        <v>190</v>
      </c>
      <c r="G38" s="14" t="s">
        <v>191</v>
      </c>
      <c r="H38" s="14"/>
      <c r="I38" s="14" t="s">
        <v>192</v>
      </c>
      <c r="J38" s="14" t="s">
        <v>193</v>
      </c>
    </row>
    <row r="39" customFormat="false" ht="15" hidden="false" customHeight="false" outlineLevel="0" collapsed="false">
      <c r="A39" s="31" t="s">
        <v>194</v>
      </c>
      <c r="B39" s="5" t="s">
        <v>195</v>
      </c>
      <c r="C39" s="38" t="s">
        <v>100</v>
      </c>
      <c r="D39" s="41"/>
      <c r="E39" s="35" t="s">
        <v>196</v>
      </c>
      <c r="F39" s="40" t="n">
        <v>46296</v>
      </c>
      <c r="G39" s="36" t="n">
        <f aca="false">G7</f>
        <v>46296</v>
      </c>
      <c r="H39" s="41"/>
      <c r="I39" s="42" t="str">
        <f aca="false">IF(J39&lt;=0,"OK","Desvío")</f>
        <v>OK</v>
      </c>
      <c r="J39" s="43" t="n">
        <f aca="false">G39-F39</f>
        <v>0</v>
      </c>
      <c r="K39" s="44" t="str">
        <f aca="false">IF(AND($G39&gt;=K$5,$G39&lt;=K$5+6),"◆","")&amp;IF(AND($F39&gt;=K$5,$F39&lt;=K$5+6),"◇","")</f>
        <v>◆◇</v>
      </c>
      <c r="L39" s="44" t="str">
        <f aca="false">IF(AND($G39&gt;=L$5,$G39&lt;=L$5+6),"◆","")&amp;IF(AND($F39&gt;=L$5,$F39&lt;=L$5+6),"◇","")</f>
        <v/>
      </c>
      <c r="M39" s="44" t="str">
        <f aca="false">IF(AND($G39&gt;=M$5,$G39&lt;=M$5+6),"◆","")&amp;IF(AND($F39&gt;=M$5,$F39&lt;=M$5+6),"◇","")</f>
        <v/>
      </c>
      <c r="N39" s="44" t="str">
        <f aca="false">IF(AND($G39&gt;=N$5,$G39&lt;=N$5+6),"◆","")&amp;IF(AND($F39&gt;=N$5,$F39&lt;=N$5+6),"◇","")</f>
        <v/>
      </c>
      <c r="O39" s="44" t="str">
        <f aca="false">IF(AND($G39&gt;=O$5,$G39&lt;=O$5+6),"◆","")&amp;IF(AND($F39&gt;=O$5,$F39&lt;=O$5+6),"◇","")</f>
        <v/>
      </c>
      <c r="P39" s="44" t="str">
        <f aca="false">IF(AND($G39&gt;=P$5,$G39&lt;=P$5+6),"◆","")&amp;IF(AND($F39&gt;=P$5,$F39&lt;=P$5+6),"◇","")</f>
        <v/>
      </c>
      <c r="Q39" s="44" t="str">
        <f aca="false">IF(AND($G39&gt;=Q$5,$G39&lt;=Q$5+6),"◆","")&amp;IF(AND($F39&gt;=Q$5,$F39&lt;=Q$5+6),"◇","")</f>
        <v/>
      </c>
      <c r="R39" s="44" t="str">
        <f aca="false">IF(AND($G39&gt;=R$5,$G39&lt;=R$5+6),"◆","")&amp;IF(AND($F39&gt;=R$5,$F39&lt;=R$5+6),"◇","")</f>
        <v/>
      </c>
      <c r="S39" s="44" t="str">
        <f aca="false">IF(AND($G39&gt;=S$5,$G39&lt;=S$5+6),"◆","")&amp;IF(AND($F39&gt;=S$5,$F39&lt;=S$5+6),"◇","")</f>
        <v/>
      </c>
      <c r="T39" s="44" t="str">
        <f aca="false">IF(AND($G39&gt;=T$5,$G39&lt;=T$5+6),"◆","")&amp;IF(AND($F39&gt;=T$5,$F39&lt;=T$5+6),"◇","")</f>
        <v/>
      </c>
      <c r="U39" s="44" t="str">
        <f aca="false">IF(AND($G39&gt;=U$5,$G39&lt;=U$5+6),"◆","")&amp;IF(AND($F39&gt;=U$5,$F39&lt;=U$5+6),"◇","")</f>
        <v/>
      </c>
      <c r="V39" s="44" t="str">
        <f aca="false">IF(AND($G39&gt;=V$5,$G39&lt;=V$5+6),"◆","")&amp;IF(AND($F39&gt;=V$5,$F39&lt;=V$5+6),"◇","")</f>
        <v/>
      </c>
      <c r="W39" s="44" t="str">
        <f aca="false">IF(AND($G39&gt;=W$5,$G39&lt;=W$5+6),"◆","")&amp;IF(AND($F39&gt;=W$5,$F39&lt;=W$5+6),"◇","")</f>
        <v/>
      </c>
      <c r="X39" s="44" t="str">
        <f aca="false">IF(AND($G39&gt;=X$5,$G39&lt;=X$5+6),"◆","")&amp;IF(AND($F39&gt;=X$5,$F39&lt;=X$5+6),"◇","")</f>
        <v/>
      </c>
      <c r="Y39" s="44" t="str">
        <f aca="false">IF(AND($G39&gt;=Y$5,$G39&lt;=Y$5+6),"◆","")&amp;IF(AND($F39&gt;=Y$5,$F39&lt;=Y$5+6),"◇","")</f>
        <v/>
      </c>
      <c r="Z39" s="44" t="str">
        <f aca="false">IF(AND($G39&gt;=Z$5,$G39&lt;=Z$5+6),"◆","")&amp;IF(AND($F39&gt;=Z$5,$F39&lt;=Z$5+6),"◇","")</f>
        <v/>
      </c>
      <c r="AA39" s="44" t="str">
        <f aca="false">IF(AND($G39&gt;=AA$5,$G39&lt;=AA$5+6),"◆","")&amp;IF(AND($F39&gt;=AA$5,$F39&lt;=AA$5+6),"◇","")</f>
        <v/>
      </c>
      <c r="AB39" s="44" t="str">
        <f aca="false">IF(AND($G39&gt;=AB$5,$G39&lt;=AB$5+6),"◆","")&amp;IF(AND($F39&gt;=AB$5,$F39&lt;=AB$5+6),"◇","")</f>
        <v/>
      </c>
      <c r="AC39" s="44" t="str">
        <f aca="false">IF(AND($G39&gt;=AC$5,$G39&lt;=AC$5+6),"◆","")&amp;IF(AND($F39&gt;=AC$5,$F39&lt;=AC$5+6),"◇","")</f>
        <v/>
      </c>
      <c r="AD39" s="44" t="str">
        <f aca="false">IF(AND($G39&gt;=AD$5,$G39&lt;=AD$5+6),"◆","")&amp;IF(AND($F39&gt;=AD$5,$F39&lt;=AD$5+6),"◇","")</f>
        <v/>
      </c>
      <c r="AE39" s="44" t="str">
        <f aca="false">IF(AND($G39&gt;=AE$5,$G39&lt;=AE$5+6),"◆","")&amp;IF(AND($F39&gt;=AE$5,$F39&lt;=AE$5+6),"◇","")</f>
        <v/>
      </c>
      <c r="AF39" s="44" t="str">
        <f aca="false">IF(AND($G39&gt;=AF$5,$G39&lt;=AF$5+6),"◆","")&amp;IF(AND($F39&gt;=AF$5,$F39&lt;=AF$5+6),"◇","")</f>
        <v/>
      </c>
      <c r="AG39" s="44" t="str">
        <f aca="false">IF(AND($G39&gt;=AG$5,$G39&lt;=AG$5+6),"◆","")&amp;IF(AND($F39&gt;=AG$5,$F39&lt;=AG$5+6),"◇","")</f>
        <v/>
      </c>
      <c r="AH39" s="44" t="str">
        <f aca="false">IF(AND($G39&gt;=AH$5,$G39&lt;=AH$5+6),"◆","")&amp;IF(AND($F39&gt;=AH$5,$F39&lt;=AH$5+6),"◇","")</f>
        <v/>
      </c>
      <c r="AI39" s="44" t="str">
        <f aca="false">IF(AND($G39&gt;=AI$5,$G39&lt;=AI$5+6),"◆","")&amp;IF(AND($F39&gt;=AI$5,$F39&lt;=AI$5+6),"◇","")</f>
        <v/>
      </c>
      <c r="AJ39" s="44" t="str">
        <f aca="false">IF(AND($G39&gt;=AJ$5,$G39&lt;=AJ$5+6),"◆","")&amp;IF(AND($F39&gt;=AJ$5,$F39&lt;=AJ$5+6),"◇","")</f>
        <v/>
      </c>
      <c r="AK39" s="44" t="str">
        <f aca="false">IF(AND($G39&gt;=AK$5,$G39&lt;=AK$5+6),"◆","")&amp;IF(AND($F39&gt;=AK$5,$F39&lt;=AK$5+6),"◇","")</f>
        <v/>
      </c>
      <c r="AL39" s="44" t="str">
        <f aca="false">IF(AND($G39&gt;=AL$5,$G39&lt;=AL$5+6),"◆","")&amp;IF(AND($F39&gt;=AL$5,$F39&lt;=AL$5+6),"◇","")</f>
        <v/>
      </c>
      <c r="AM39" s="44" t="str">
        <f aca="false">IF(AND($G39&gt;=AM$5,$G39&lt;=AM$5+6),"◆","")&amp;IF(AND($F39&gt;=AM$5,$F39&lt;=AM$5+6),"◇","")</f>
        <v/>
      </c>
      <c r="AN39" s="44" t="str">
        <f aca="false">IF(AND($G39&gt;=AN$5,$G39&lt;=AN$5+6),"◆","")&amp;IF(AND($F39&gt;=AN$5,$F39&lt;=AN$5+6),"◇","")</f>
        <v/>
      </c>
      <c r="AO39" s="44" t="str">
        <f aca="false">IF(AND($G39&gt;=AO$5,$G39&lt;=AO$5+6),"◆","")&amp;IF(AND($F39&gt;=AO$5,$F39&lt;=AO$5+6),"◇","")</f>
        <v/>
      </c>
      <c r="AP39" s="44" t="str">
        <f aca="false">IF(AND($G39&gt;=AP$5,$G39&lt;=AP$5+6),"◆","")&amp;IF(AND($F39&gt;=AP$5,$F39&lt;=AP$5+6),"◇","")</f>
        <v/>
      </c>
      <c r="AQ39" s="44" t="str">
        <f aca="false">IF(AND($G39&gt;=AQ$5,$G39&lt;=AQ$5+6),"◆","")&amp;IF(AND($F39&gt;=AQ$5,$F39&lt;=AQ$5+6),"◇","")</f>
        <v/>
      </c>
    </row>
    <row r="40" customFormat="false" ht="15" hidden="false" customHeight="false" outlineLevel="0" collapsed="false">
      <c r="A40" s="31" t="s">
        <v>197</v>
      </c>
      <c r="B40" s="5" t="s">
        <v>198</v>
      </c>
      <c r="C40" s="38" t="s">
        <v>199</v>
      </c>
      <c r="D40" s="41"/>
      <c r="E40" s="35" t="s">
        <v>200</v>
      </c>
      <c r="F40" s="40" t="n">
        <v>46312</v>
      </c>
      <c r="G40" s="36" t="n">
        <f aca="false">MAX(H8,H9)</f>
        <v>46304</v>
      </c>
      <c r="H40" s="41"/>
      <c r="I40" s="42" t="str">
        <f aca="false">IF(J40&lt;=0,"OK","Desvío")</f>
        <v>OK</v>
      </c>
      <c r="J40" s="43" t="n">
        <f aca="false">G40-F40</f>
        <v>-8</v>
      </c>
      <c r="K40" s="44" t="str">
        <f aca="false">IF(AND($G40&gt;=K$5,$G40&lt;=K$5+6),"◆","")&amp;IF(AND($F40&gt;=K$5,$F40&lt;=K$5+6),"◇","")</f>
        <v/>
      </c>
      <c r="L40" s="44" t="str">
        <f aca="false">IF(AND($G40&gt;=L$5,$G40&lt;=L$5+6),"◆","")&amp;IF(AND($F40&gt;=L$5,$F40&lt;=L$5+6),"◇","")</f>
        <v>◆</v>
      </c>
      <c r="M40" s="44" t="str">
        <f aca="false">IF(AND($G40&gt;=M$5,$G40&lt;=M$5+6),"◆","")&amp;IF(AND($F40&gt;=M$5,$F40&lt;=M$5+6),"◇","")</f>
        <v>◇</v>
      </c>
      <c r="N40" s="44" t="str">
        <f aca="false">IF(AND($G40&gt;=N$5,$G40&lt;=N$5+6),"◆","")&amp;IF(AND($F40&gt;=N$5,$F40&lt;=N$5+6),"◇","")</f>
        <v/>
      </c>
      <c r="O40" s="44" t="str">
        <f aca="false">IF(AND($G40&gt;=O$5,$G40&lt;=O$5+6),"◆","")&amp;IF(AND($F40&gt;=O$5,$F40&lt;=O$5+6),"◇","")</f>
        <v/>
      </c>
      <c r="P40" s="44" t="str">
        <f aca="false">IF(AND($G40&gt;=P$5,$G40&lt;=P$5+6),"◆","")&amp;IF(AND($F40&gt;=P$5,$F40&lt;=P$5+6),"◇","")</f>
        <v/>
      </c>
      <c r="Q40" s="44" t="str">
        <f aca="false">IF(AND($G40&gt;=Q$5,$G40&lt;=Q$5+6),"◆","")&amp;IF(AND($F40&gt;=Q$5,$F40&lt;=Q$5+6),"◇","")</f>
        <v/>
      </c>
      <c r="R40" s="44" t="str">
        <f aca="false">IF(AND($G40&gt;=R$5,$G40&lt;=R$5+6),"◆","")&amp;IF(AND($F40&gt;=R$5,$F40&lt;=R$5+6),"◇","")</f>
        <v/>
      </c>
      <c r="S40" s="44" t="str">
        <f aca="false">IF(AND($G40&gt;=S$5,$G40&lt;=S$5+6),"◆","")&amp;IF(AND($F40&gt;=S$5,$F40&lt;=S$5+6),"◇","")</f>
        <v/>
      </c>
      <c r="T40" s="44" t="str">
        <f aca="false">IF(AND($G40&gt;=T$5,$G40&lt;=T$5+6),"◆","")&amp;IF(AND($F40&gt;=T$5,$F40&lt;=T$5+6),"◇","")</f>
        <v/>
      </c>
      <c r="U40" s="44" t="str">
        <f aca="false">IF(AND($G40&gt;=U$5,$G40&lt;=U$5+6),"◆","")&amp;IF(AND($F40&gt;=U$5,$F40&lt;=U$5+6),"◇","")</f>
        <v/>
      </c>
      <c r="V40" s="44" t="str">
        <f aca="false">IF(AND($G40&gt;=V$5,$G40&lt;=V$5+6),"◆","")&amp;IF(AND($F40&gt;=V$5,$F40&lt;=V$5+6),"◇","")</f>
        <v/>
      </c>
      <c r="W40" s="44" t="str">
        <f aca="false">IF(AND($G40&gt;=W$5,$G40&lt;=W$5+6),"◆","")&amp;IF(AND($F40&gt;=W$5,$F40&lt;=W$5+6),"◇","")</f>
        <v/>
      </c>
      <c r="X40" s="44" t="str">
        <f aca="false">IF(AND($G40&gt;=X$5,$G40&lt;=X$5+6),"◆","")&amp;IF(AND($F40&gt;=X$5,$F40&lt;=X$5+6),"◇","")</f>
        <v/>
      </c>
      <c r="Y40" s="44" t="str">
        <f aca="false">IF(AND($G40&gt;=Y$5,$G40&lt;=Y$5+6),"◆","")&amp;IF(AND($F40&gt;=Y$5,$F40&lt;=Y$5+6),"◇","")</f>
        <v/>
      </c>
      <c r="Z40" s="44" t="str">
        <f aca="false">IF(AND($G40&gt;=Z$5,$G40&lt;=Z$5+6),"◆","")&amp;IF(AND($F40&gt;=Z$5,$F40&lt;=Z$5+6),"◇","")</f>
        <v/>
      </c>
      <c r="AA40" s="44" t="str">
        <f aca="false">IF(AND($G40&gt;=AA$5,$G40&lt;=AA$5+6),"◆","")&amp;IF(AND($F40&gt;=AA$5,$F40&lt;=AA$5+6),"◇","")</f>
        <v/>
      </c>
      <c r="AB40" s="44" t="str">
        <f aca="false">IF(AND($G40&gt;=AB$5,$G40&lt;=AB$5+6),"◆","")&amp;IF(AND($F40&gt;=AB$5,$F40&lt;=AB$5+6),"◇","")</f>
        <v/>
      </c>
      <c r="AC40" s="44" t="str">
        <f aca="false">IF(AND($G40&gt;=AC$5,$G40&lt;=AC$5+6),"◆","")&amp;IF(AND($F40&gt;=AC$5,$F40&lt;=AC$5+6),"◇","")</f>
        <v/>
      </c>
      <c r="AD40" s="44" t="str">
        <f aca="false">IF(AND($G40&gt;=AD$5,$G40&lt;=AD$5+6),"◆","")&amp;IF(AND($F40&gt;=AD$5,$F40&lt;=AD$5+6),"◇","")</f>
        <v/>
      </c>
      <c r="AE40" s="44" t="str">
        <f aca="false">IF(AND($G40&gt;=AE$5,$G40&lt;=AE$5+6),"◆","")&amp;IF(AND($F40&gt;=AE$5,$F40&lt;=AE$5+6),"◇","")</f>
        <v/>
      </c>
      <c r="AF40" s="44" t="str">
        <f aca="false">IF(AND($G40&gt;=AF$5,$G40&lt;=AF$5+6),"◆","")&amp;IF(AND($F40&gt;=AF$5,$F40&lt;=AF$5+6),"◇","")</f>
        <v/>
      </c>
      <c r="AG40" s="44" t="str">
        <f aca="false">IF(AND($G40&gt;=AG$5,$G40&lt;=AG$5+6),"◆","")&amp;IF(AND($F40&gt;=AG$5,$F40&lt;=AG$5+6),"◇","")</f>
        <v/>
      </c>
      <c r="AH40" s="44" t="str">
        <f aca="false">IF(AND($G40&gt;=AH$5,$G40&lt;=AH$5+6),"◆","")&amp;IF(AND($F40&gt;=AH$5,$F40&lt;=AH$5+6),"◇","")</f>
        <v/>
      </c>
      <c r="AI40" s="44" t="str">
        <f aca="false">IF(AND($G40&gt;=AI$5,$G40&lt;=AI$5+6),"◆","")&amp;IF(AND($F40&gt;=AI$5,$F40&lt;=AI$5+6),"◇","")</f>
        <v/>
      </c>
      <c r="AJ40" s="44" t="str">
        <f aca="false">IF(AND($G40&gt;=AJ$5,$G40&lt;=AJ$5+6),"◆","")&amp;IF(AND($F40&gt;=AJ$5,$F40&lt;=AJ$5+6),"◇","")</f>
        <v/>
      </c>
      <c r="AK40" s="44" t="str">
        <f aca="false">IF(AND($G40&gt;=AK$5,$G40&lt;=AK$5+6),"◆","")&amp;IF(AND($F40&gt;=AK$5,$F40&lt;=AK$5+6),"◇","")</f>
        <v/>
      </c>
      <c r="AL40" s="44" t="str">
        <f aca="false">IF(AND($G40&gt;=AL$5,$G40&lt;=AL$5+6),"◆","")&amp;IF(AND($F40&gt;=AL$5,$F40&lt;=AL$5+6),"◇","")</f>
        <v/>
      </c>
      <c r="AM40" s="44" t="str">
        <f aca="false">IF(AND($G40&gt;=AM$5,$G40&lt;=AM$5+6),"◆","")&amp;IF(AND($F40&gt;=AM$5,$F40&lt;=AM$5+6),"◇","")</f>
        <v/>
      </c>
      <c r="AN40" s="44" t="str">
        <f aca="false">IF(AND($G40&gt;=AN$5,$G40&lt;=AN$5+6),"◆","")&amp;IF(AND($F40&gt;=AN$5,$F40&lt;=AN$5+6),"◇","")</f>
        <v/>
      </c>
      <c r="AO40" s="44" t="str">
        <f aca="false">IF(AND($G40&gt;=AO$5,$G40&lt;=AO$5+6),"◆","")&amp;IF(AND($F40&gt;=AO$5,$F40&lt;=AO$5+6),"◇","")</f>
        <v/>
      </c>
      <c r="AP40" s="44" t="str">
        <f aca="false">IF(AND($G40&gt;=AP$5,$G40&lt;=AP$5+6),"◆","")&amp;IF(AND($F40&gt;=AP$5,$F40&lt;=AP$5+6),"◇","")</f>
        <v/>
      </c>
      <c r="AQ40" s="44" t="str">
        <f aca="false">IF(AND($G40&gt;=AQ$5,$G40&lt;=AQ$5+6),"◆","")&amp;IF(AND($F40&gt;=AQ$5,$F40&lt;=AQ$5+6),"◇","")</f>
        <v/>
      </c>
    </row>
    <row r="41" customFormat="false" ht="15" hidden="false" customHeight="false" outlineLevel="0" collapsed="false">
      <c r="A41" s="31" t="s">
        <v>201</v>
      </c>
      <c r="B41" s="5" t="s">
        <v>202</v>
      </c>
      <c r="C41" s="38" t="s">
        <v>203</v>
      </c>
      <c r="D41" s="41"/>
      <c r="E41" s="35" t="s">
        <v>204</v>
      </c>
      <c r="F41" s="40" t="n">
        <v>46347</v>
      </c>
      <c r="G41" s="36" t="n">
        <f aca="false">MAX(H12,H13,H18)</f>
        <v>46342</v>
      </c>
      <c r="H41" s="41"/>
      <c r="I41" s="42" t="str">
        <f aca="false">IF(J41&lt;=0,"OK","Desvío")</f>
        <v>OK</v>
      </c>
      <c r="J41" s="43" t="n">
        <f aca="false">G41-F41</f>
        <v>-5</v>
      </c>
      <c r="K41" s="44" t="str">
        <f aca="false">IF(AND($G41&gt;=K$5,$G41&lt;=K$5+6),"◆","")&amp;IF(AND($F41&gt;=K$5,$F41&lt;=K$5+6),"◇","")</f>
        <v/>
      </c>
      <c r="L41" s="44" t="str">
        <f aca="false">IF(AND($G41&gt;=L$5,$G41&lt;=L$5+6),"◆","")&amp;IF(AND($F41&gt;=L$5,$F41&lt;=L$5+6),"◇","")</f>
        <v/>
      </c>
      <c r="M41" s="44" t="str">
        <f aca="false">IF(AND($G41&gt;=M$5,$G41&lt;=M$5+6),"◆","")&amp;IF(AND($F41&gt;=M$5,$F41&lt;=M$5+6),"◇","")</f>
        <v/>
      </c>
      <c r="N41" s="44" t="str">
        <f aca="false">IF(AND($G41&gt;=N$5,$G41&lt;=N$5+6),"◆","")&amp;IF(AND($F41&gt;=N$5,$F41&lt;=N$5+6),"◇","")</f>
        <v/>
      </c>
      <c r="O41" s="44" t="str">
        <f aca="false">IF(AND($G41&gt;=O$5,$G41&lt;=O$5+6),"◆","")&amp;IF(AND($F41&gt;=O$5,$F41&lt;=O$5+6),"◇","")</f>
        <v/>
      </c>
      <c r="P41" s="44" t="str">
        <f aca="false">IF(AND($G41&gt;=P$5,$G41&lt;=P$5+6),"◆","")&amp;IF(AND($F41&gt;=P$5,$F41&lt;=P$5+6),"◇","")</f>
        <v/>
      </c>
      <c r="Q41" s="44" t="str">
        <f aca="false">IF(AND($G41&gt;=Q$5,$G41&lt;=Q$5+6),"◆","")&amp;IF(AND($F41&gt;=Q$5,$F41&lt;=Q$5+6),"◇","")</f>
        <v/>
      </c>
      <c r="R41" s="44" t="str">
        <f aca="false">IF(AND($G41&gt;=R$5,$G41&lt;=R$5+6),"◆","")&amp;IF(AND($F41&gt;=R$5,$F41&lt;=R$5+6),"◇","")</f>
        <v>◆◇</v>
      </c>
      <c r="S41" s="44" t="str">
        <f aca="false">IF(AND($G41&gt;=S$5,$G41&lt;=S$5+6),"◆","")&amp;IF(AND($F41&gt;=S$5,$F41&lt;=S$5+6),"◇","")</f>
        <v/>
      </c>
      <c r="T41" s="44" t="str">
        <f aca="false">IF(AND($G41&gt;=T$5,$G41&lt;=T$5+6),"◆","")&amp;IF(AND($F41&gt;=T$5,$F41&lt;=T$5+6),"◇","")</f>
        <v/>
      </c>
      <c r="U41" s="44" t="str">
        <f aca="false">IF(AND($G41&gt;=U$5,$G41&lt;=U$5+6),"◆","")&amp;IF(AND($F41&gt;=U$5,$F41&lt;=U$5+6),"◇","")</f>
        <v/>
      </c>
      <c r="V41" s="44" t="str">
        <f aca="false">IF(AND($G41&gt;=V$5,$G41&lt;=V$5+6),"◆","")&amp;IF(AND($F41&gt;=V$5,$F41&lt;=V$5+6),"◇","")</f>
        <v/>
      </c>
      <c r="W41" s="44" t="str">
        <f aca="false">IF(AND($G41&gt;=W$5,$G41&lt;=W$5+6),"◆","")&amp;IF(AND($F41&gt;=W$5,$F41&lt;=W$5+6),"◇","")</f>
        <v/>
      </c>
      <c r="X41" s="44" t="str">
        <f aca="false">IF(AND($G41&gt;=X$5,$G41&lt;=X$5+6),"◆","")&amp;IF(AND($F41&gt;=X$5,$F41&lt;=X$5+6),"◇","")</f>
        <v/>
      </c>
      <c r="Y41" s="44" t="str">
        <f aca="false">IF(AND($G41&gt;=Y$5,$G41&lt;=Y$5+6),"◆","")&amp;IF(AND($F41&gt;=Y$5,$F41&lt;=Y$5+6),"◇","")</f>
        <v/>
      </c>
      <c r="Z41" s="44" t="str">
        <f aca="false">IF(AND($G41&gt;=Z$5,$G41&lt;=Z$5+6),"◆","")&amp;IF(AND($F41&gt;=Z$5,$F41&lt;=Z$5+6),"◇","")</f>
        <v/>
      </c>
      <c r="AA41" s="44" t="str">
        <f aca="false">IF(AND($G41&gt;=AA$5,$G41&lt;=AA$5+6),"◆","")&amp;IF(AND($F41&gt;=AA$5,$F41&lt;=AA$5+6),"◇","")</f>
        <v/>
      </c>
      <c r="AB41" s="44" t="str">
        <f aca="false">IF(AND($G41&gt;=AB$5,$G41&lt;=AB$5+6),"◆","")&amp;IF(AND($F41&gt;=AB$5,$F41&lt;=AB$5+6),"◇","")</f>
        <v/>
      </c>
      <c r="AC41" s="44" t="str">
        <f aca="false">IF(AND($G41&gt;=AC$5,$G41&lt;=AC$5+6),"◆","")&amp;IF(AND($F41&gt;=AC$5,$F41&lt;=AC$5+6),"◇","")</f>
        <v/>
      </c>
      <c r="AD41" s="44" t="str">
        <f aca="false">IF(AND($G41&gt;=AD$5,$G41&lt;=AD$5+6),"◆","")&amp;IF(AND($F41&gt;=AD$5,$F41&lt;=AD$5+6),"◇","")</f>
        <v/>
      </c>
      <c r="AE41" s="44" t="str">
        <f aca="false">IF(AND($G41&gt;=AE$5,$G41&lt;=AE$5+6),"◆","")&amp;IF(AND($F41&gt;=AE$5,$F41&lt;=AE$5+6),"◇","")</f>
        <v/>
      </c>
      <c r="AF41" s="44" t="str">
        <f aca="false">IF(AND($G41&gt;=AF$5,$G41&lt;=AF$5+6),"◆","")&amp;IF(AND($F41&gt;=AF$5,$F41&lt;=AF$5+6),"◇","")</f>
        <v/>
      </c>
      <c r="AG41" s="44" t="str">
        <f aca="false">IF(AND($G41&gt;=AG$5,$G41&lt;=AG$5+6),"◆","")&amp;IF(AND($F41&gt;=AG$5,$F41&lt;=AG$5+6),"◇","")</f>
        <v/>
      </c>
      <c r="AH41" s="44" t="str">
        <f aca="false">IF(AND($G41&gt;=AH$5,$G41&lt;=AH$5+6),"◆","")&amp;IF(AND($F41&gt;=AH$5,$F41&lt;=AH$5+6),"◇","")</f>
        <v/>
      </c>
      <c r="AI41" s="44" t="str">
        <f aca="false">IF(AND($G41&gt;=AI$5,$G41&lt;=AI$5+6),"◆","")&amp;IF(AND($F41&gt;=AI$5,$F41&lt;=AI$5+6),"◇","")</f>
        <v/>
      </c>
      <c r="AJ41" s="44" t="str">
        <f aca="false">IF(AND($G41&gt;=AJ$5,$G41&lt;=AJ$5+6),"◆","")&amp;IF(AND($F41&gt;=AJ$5,$F41&lt;=AJ$5+6),"◇","")</f>
        <v/>
      </c>
      <c r="AK41" s="44" t="str">
        <f aca="false">IF(AND($G41&gt;=AK$5,$G41&lt;=AK$5+6),"◆","")&amp;IF(AND($F41&gt;=AK$5,$F41&lt;=AK$5+6),"◇","")</f>
        <v/>
      </c>
      <c r="AL41" s="44" t="str">
        <f aca="false">IF(AND($G41&gt;=AL$5,$G41&lt;=AL$5+6),"◆","")&amp;IF(AND($F41&gt;=AL$5,$F41&lt;=AL$5+6),"◇","")</f>
        <v/>
      </c>
      <c r="AM41" s="44" t="str">
        <f aca="false">IF(AND($G41&gt;=AM$5,$G41&lt;=AM$5+6),"◆","")&amp;IF(AND($F41&gt;=AM$5,$F41&lt;=AM$5+6),"◇","")</f>
        <v/>
      </c>
      <c r="AN41" s="44" t="str">
        <f aca="false">IF(AND($G41&gt;=AN$5,$G41&lt;=AN$5+6),"◆","")&amp;IF(AND($F41&gt;=AN$5,$F41&lt;=AN$5+6),"◇","")</f>
        <v/>
      </c>
      <c r="AO41" s="44" t="str">
        <f aca="false">IF(AND($G41&gt;=AO$5,$G41&lt;=AO$5+6),"◆","")&amp;IF(AND($F41&gt;=AO$5,$F41&lt;=AO$5+6),"◇","")</f>
        <v/>
      </c>
      <c r="AP41" s="44" t="str">
        <f aca="false">IF(AND($G41&gt;=AP$5,$G41&lt;=AP$5+6),"◆","")&amp;IF(AND($F41&gt;=AP$5,$F41&lt;=AP$5+6),"◇","")</f>
        <v/>
      </c>
      <c r="AQ41" s="44" t="str">
        <f aca="false">IF(AND($G41&gt;=AQ$5,$G41&lt;=AQ$5+6),"◆","")&amp;IF(AND($F41&gt;=AQ$5,$F41&lt;=AQ$5+6),"◇","")</f>
        <v/>
      </c>
    </row>
    <row r="42" customFormat="false" ht="15" hidden="false" customHeight="false" outlineLevel="0" collapsed="false">
      <c r="A42" s="31" t="s">
        <v>205</v>
      </c>
      <c r="B42" s="5" t="s">
        <v>206</v>
      </c>
      <c r="C42" s="38" t="s">
        <v>168</v>
      </c>
      <c r="D42" s="41"/>
      <c r="E42" s="35" t="s">
        <v>207</v>
      </c>
      <c r="F42" s="40" t="n">
        <v>46375</v>
      </c>
      <c r="G42" s="36" t="n">
        <f aca="false">MAX(H32)</f>
        <v>46374</v>
      </c>
      <c r="H42" s="41"/>
      <c r="I42" s="42" t="str">
        <f aca="false">IF(J42&lt;=0,"OK","Desvío")</f>
        <v>OK</v>
      </c>
      <c r="J42" s="43" t="n">
        <f aca="false">G42-F42</f>
        <v>-1</v>
      </c>
      <c r="K42" s="44" t="str">
        <f aca="false">IF(AND($G42&gt;=K$5,$G42&lt;=K$5+6),"◆","")&amp;IF(AND($F42&gt;=K$5,$F42&lt;=K$5+6),"◇","")</f>
        <v/>
      </c>
      <c r="L42" s="44" t="str">
        <f aca="false">IF(AND($G42&gt;=L$5,$G42&lt;=L$5+6),"◆","")&amp;IF(AND($F42&gt;=L$5,$F42&lt;=L$5+6),"◇","")</f>
        <v/>
      </c>
      <c r="M42" s="44" t="str">
        <f aca="false">IF(AND($G42&gt;=M$5,$G42&lt;=M$5+6),"◆","")&amp;IF(AND($F42&gt;=M$5,$F42&lt;=M$5+6),"◇","")</f>
        <v/>
      </c>
      <c r="N42" s="44" t="str">
        <f aca="false">IF(AND($G42&gt;=N$5,$G42&lt;=N$5+6),"◆","")&amp;IF(AND($F42&gt;=N$5,$F42&lt;=N$5+6),"◇","")</f>
        <v/>
      </c>
      <c r="O42" s="44" t="str">
        <f aca="false">IF(AND($G42&gt;=O$5,$G42&lt;=O$5+6),"◆","")&amp;IF(AND($F42&gt;=O$5,$F42&lt;=O$5+6),"◇","")</f>
        <v/>
      </c>
      <c r="P42" s="44" t="str">
        <f aca="false">IF(AND($G42&gt;=P$5,$G42&lt;=P$5+6),"◆","")&amp;IF(AND($F42&gt;=P$5,$F42&lt;=P$5+6),"◇","")</f>
        <v/>
      </c>
      <c r="Q42" s="44" t="str">
        <f aca="false">IF(AND($G42&gt;=Q$5,$G42&lt;=Q$5+6),"◆","")&amp;IF(AND($F42&gt;=Q$5,$F42&lt;=Q$5+6),"◇","")</f>
        <v/>
      </c>
      <c r="R42" s="44" t="str">
        <f aca="false">IF(AND($G42&gt;=R$5,$G42&lt;=R$5+6),"◆","")&amp;IF(AND($F42&gt;=R$5,$F42&lt;=R$5+6),"◇","")</f>
        <v/>
      </c>
      <c r="S42" s="44" t="str">
        <f aca="false">IF(AND($G42&gt;=S$5,$G42&lt;=S$5+6),"◆","")&amp;IF(AND($F42&gt;=S$5,$F42&lt;=S$5+6),"◇","")</f>
        <v/>
      </c>
      <c r="T42" s="44" t="str">
        <f aca="false">IF(AND($G42&gt;=T$5,$G42&lt;=T$5+6),"◆","")&amp;IF(AND($F42&gt;=T$5,$F42&lt;=T$5+6),"◇","")</f>
        <v/>
      </c>
      <c r="U42" s="44" t="str">
        <f aca="false">IF(AND($G42&gt;=U$5,$G42&lt;=U$5+6),"◆","")&amp;IF(AND($F42&gt;=U$5,$F42&lt;=U$5+6),"◇","")</f>
        <v/>
      </c>
      <c r="V42" s="44" t="str">
        <f aca="false">IF(AND($G42&gt;=V$5,$G42&lt;=V$5+6),"◆","")&amp;IF(AND($F42&gt;=V$5,$F42&lt;=V$5+6),"◇","")</f>
        <v>◆◇</v>
      </c>
      <c r="W42" s="44" t="str">
        <f aca="false">IF(AND($G42&gt;=W$5,$G42&lt;=W$5+6),"◆","")&amp;IF(AND($F42&gt;=W$5,$F42&lt;=W$5+6),"◇","")</f>
        <v/>
      </c>
      <c r="X42" s="44" t="str">
        <f aca="false">IF(AND($G42&gt;=X$5,$G42&lt;=X$5+6),"◆","")&amp;IF(AND($F42&gt;=X$5,$F42&lt;=X$5+6),"◇","")</f>
        <v/>
      </c>
      <c r="Y42" s="44" t="str">
        <f aca="false">IF(AND($G42&gt;=Y$5,$G42&lt;=Y$5+6),"◆","")&amp;IF(AND($F42&gt;=Y$5,$F42&lt;=Y$5+6),"◇","")</f>
        <v/>
      </c>
      <c r="Z42" s="44" t="str">
        <f aca="false">IF(AND($G42&gt;=Z$5,$G42&lt;=Z$5+6),"◆","")&amp;IF(AND($F42&gt;=Z$5,$F42&lt;=Z$5+6),"◇","")</f>
        <v/>
      </c>
      <c r="AA42" s="44" t="str">
        <f aca="false">IF(AND($G42&gt;=AA$5,$G42&lt;=AA$5+6),"◆","")&amp;IF(AND($F42&gt;=AA$5,$F42&lt;=AA$5+6),"◇","")</f>
        <v/>
      </c>
      <c r="AB42" s="44" t="str">
        <f aca="false">IF(AND($G42&gt;=AB$5,$G42&lt;=AB$5+6),"◆","")&amp;IF(AND($F42&gt;=AB$5,$F42&lt;=AB$5+6),"◇","")</f>
        <v/>
      </c>
      <c r="AC42" s="44" t="str">
        <f aca="false">IF(AND($G42&gt;=AC$5,$G42&lt;=AC$5+6),"◆","")&amp;IF(AND($F42&gt;=AC$5,$F42&lt;=AC$5+6),"◇","")</f>
        <v/>
      </c>
      <c r="AD42" s="44" t="str">
        <f aca="false">IF(AND($G42&gt;=AD$5,$G42&lt;=AD$5+6),"◆","")&amp;IF(AND($F42&gt;=AD$5,$F42&lt;=AD$5+6),"◇","")</f>
        <v/>
      </c>
      <c r="AE42" s="44" t="str">
        <f aca="false">IF(AND($G42&gt;=AE$5,$G42&lt;=AE$5+6),"◆","")&amp;IF(AND($F42&gt;=AE$5,$F42&lt;=AE$5+6),"◇","")</f>
        <v/>
      </c>
      <c r="AF42" s="44" t="str">
        <f aca="false">IF(AND($G42&gt;=AF$5,$G42&lt;=AF$5+6),"◆","")&amp;IF(AND($F42&gt;=AF$5,$F42&lt;=AF$5+6),"◇","")</f>
        <v/>
      </c>
      <c r="AG42" s="44" t="str">
        <f aca="false">IF(AND($G42&gt;=AG$5,$G42&lt;=AG$5+6),"◆","")&amp;IF(AND($F42&gt;=AG$5,$F42&lt;=AG$5+6),"◇","")</f>
        <v/>
      </c>
      <c r="AH42" s="44" t="str">
        <f aca="false">IF(AND($G42&gt;=AH$5,$G42&lt;=AH$5+6),"◆","")&amp;IF(AND($F42&gt;=AH$5,$F42&lt;=AH$5+6),"◇","")</f>
        <v/>
      </c>
      <c r="AI42" s="44" t="str">
        <f aca="false">IF(AND($G42&gt;=AI$5,$G42&lt;=AI$5+6),"◆","")&amp;IF(AND($F42&gt;=AI$5,$F42&lt;=AI$5+6),"◇","")</f>
        <v/>
      </c>
      <c r="AJ42" s="44" t="str">
        <f aca="false">IF(AND($G42&gt;=AJ$5,$G42&lt;=AJ$5+6),"◆","")&amp;IF(AND($F42&gt;=AJ$5,$F42&lt;=AJ$5+6),"◇","")</f>
        <v/>
      </c>
      <c r="AK42" s="44" t="str">
        <f aca="false">IF(AND($G42&gt;=AK$5,$G42&lt;=AK$5+6),"◆","")&amp;IF(AND($F42&gt;=AK$5,$F42&lt;=AK$5+6),"◇","")</f>
        <v/>
      </c>
      <c r="AL42" s="44" t="str">
        <f aca="false">IF(AND($G42&gt;=AL$5,$G42&lt;=AL$5+6),"◆","")&amp;IF(AND($F42&gt;=AL$5,$F42&lt;=AL$5+6),"◇","")</f>
        <v/>
      </c>
      <c r="AM42" s="44" t="str">
        <f aca="false">IF(AND($G42&gt;=AM$5,$G42&lt;=AM$5+6),"◆","")&amp;IF(AND($F42&gt;=AM$5,$F42&lt;=AM$5+6),"◇","")</f>
        <v/>
      </c>
      <c r="AN42" s="44" t="str">
        <f aca="false">IF(AND($G42&gt;=AN$5,$G42&lt;=AN$5+6),"◆","")&amp;IF(AND($F42&gt;=AN$5,$F42&lt;=AN$5+6),"◇","")</f>
        <v/>
      </c>
      <c r="AO42" s="44" t="str">
        <f aca="false">IF(AND($G42&gt;=AO$5,$G42&lt;=AO$5+6),"◆","")&amp;IF(AND($F42&gt;=AO$5,$F42&lt;=AO$5+6),"◇","")</f>
        <v/>
      </c>
      <c r="AP42" s="44" t="str">
        <f aca="false">IF(AND($G42&gt;=AP$5,$G42&lt;=AP$5+6),"◆","")&amp;IF(AND($F42&gt;=AP$5,$F42&lt;=AP$5+6),"◇","")</f>
        <v/>
      </c>
      <c r="AQ42" s="44" t="str">
        <f aca="false">IF(AND($G42&gt;=AQ$5,$G42&lt;=AQ$5+6),"◆","")&amp;IF(AND($F42&gt;=AQ$5,$F42&lt;=AQ$5+6),"◇","")</f>
        <v/>
      </c>
    </row>
    <row r="43" customFormat="false" ht="15" hidden="false" customHeight="false" outlineLevel="0" collapsed="false">
      <c r="A43" s="31" t="s">
        <v>208</v>
      </c>
      <c r="B43" s="5" t="s">
        <v>209</v>
      </c>
      <c r="C43" s="38" t="s">
        <v>210</v>
      </c>
      <c r="D43" s="41"/>
      <c r="E43" s="35" t="s">
        <v>211</v>
      </c>
      <c r="F43" s="40" t="n">
        <v>46445</v>
      </c>
      <c r="G43" s="36" t="n">
        <f aca="false">MAX(H17,H24,H25)</f>
        <v>46398</v>
      </c>
      <c r="H43" s="41"/>
      <c r="I43" s="42" t="str">
        <f aca="false">IF(J43&lt;=0,"OK","Desvío")</f>
        <v>OK</v>
      </c>
      <c r="J43" s="43" t="n">
        <f aca="false">G43-F43</f>
        <v>-47</v>
      </c>
      <c r="K43" s="44" t="str">
        <f aca="false">IF(AND($G43&gt;=K$5,$G43&lt;=K$5+6),"◆","")&amp;IF(AND($F43&gt;=K$5,$F43&lt;=K$5+6),"◇","")</f>
        <v/>
      </c>
      <c r="L43" s="44" t="str">
        <f aca="false">IF(AND($G43&gt;=L$5,$G43&lt;=L$5+6),"◆","")&amp;IF(AND($F43&gt;=L$5,$F43&lt;=L$5+6),"◇","")</f>
        <v/>
      </c>
      <c r="M43" s="44" t="str">
        <f aca="false">IF(AND($G43&gt;=M$5,$G43&lt;=M$5+6),"◆","")&amp;IF(AND($F43&gt;=M$5,$F43&lt;=M$5+6),"◇","")</f>
        <v/>
      </c>
      <c r="N43" s="44" t="str">
        <f aca="false">IF(AND($G43&gt;=N$5,$G43&lt;=N$5+6),"◆","")&amp;IF(AND($F43&gt;=N$5,$F43&lt;=N$5+6),"◇","")</f>
        <v/>
      </c>
      <c r="O43" s="44" t="str">
        <f aca="false">IF(AND($G43&gt;=O$5,$G43&lt;=O$5+6),"◆","")&amp;IF(AND($F43&gt;=O$5,$F43&lt;=O$5+6),"◇","")</f>
        <v/>
      </c>
      <c r="P43" s="44" t="str">
        <f aca="false">IF(AND($G43&gt;=P$5,$G43&lt;=P$5+6),"◆","")&amp;IF(AND($F43&gt;=P$5,$F43&lt;=P$5+6),"◇","")</f>
        <v/>
      </c>
      <c r="Q43" s="44" t="str">
        <f aca="false">IF(AND($G43&gt;=Q$5,$G43&lt;=Q$5+6),"◆","")&amp;IF(AND($F43&gt;=Q$5,$F43&lt;=Q$5+6),"◇","")</f>
        <v/>
      </c>
      <c r="R43" s="44" t="str">
        <f aca="false">IF(AND($G43&gt;=R$5,$G43&lt;=R$5+6),"◆","")&amp;IF(AND($F43&gt;=R$5,$F43&lt;=R$5+6),"◇","")</f>
        <v/>
      </c>
      <c r="S43" s="44" t="str">
        <f aca="false">IF(AND($G43&gt;=S$5,$G43&lt;=S$5+6),"◆","")&amp;IF(AND($F43&gt;=S$5,$F43&lt;=S$5+6),"◇","")</f>
        <v/>
      </c>
      <c r="T43" s="44" t="str">
        <f aca="false">IF(AND($G43&gt;=T$5,$G43&lt;=T$5+6),"◆","")&amp;IF(AND($F43&gt;=T$5,$F43&lt;=T$5+6),"◇","")</f>
        <v/>
      </c>
      <c r="U43" s="44" t="str">
        <f aca="false">IF(AND($G43&gt;=U$5,$G43&lt;=U$5+6),"◆","")&amp;IF(AND($F43&gt;=U$5,$F43&lt;=U$5+6),"◇","")</f>
        <v/>
      </c>
      <c r="V43" s="44" t="str">
        <f aca="false">IF(AND($G43&gt;=V$5,$G43&lt;=V$5+6),"◆","")&amp;IF(AND($F43&gt;=V$5,$F43&lt;=V$5+6),"◇","")</f>
        <v/>
      </c>
      <c r="W43" s="44" t="str">
        <f aca="false">IF(AND($G43&gt;=W$5,$G43&lt;=W$5+6),"◆","")&amp;IF(AND($F43&gt;=W$5,$F43&lt;=W$5+6),"◇","")</f>
        <v/>
      </c>
      <c r="X43" s="44" t="str">
        <f aca="false">IF(AND($G43&gt;=X$5,$G43&lt;=X$5+6),"◆","")&amp;IF(AND($F43&gt;=X$5,$F43&lt;=X$5+6),"◇","")</f>
        <v/>
      </c>
      <c r="Y43" s="44" t="str">
        <f aca="false">IF(AND($G43&gt;=Y$5,$G43&lt;=Y$5+6),"◆","")&amp;IF(AND($F43&gt;=Y$5,$F43&lt;=Y$5+6),"◇","")</f>
        <v/>
      </c>
      <c r="Z43" s="44" t="str">
        <f aca="false">IF(AND($G43&gt;=Z$5,$G43&lt;=Z$5+6),"◆","")&amp;IF(AND($F43&gt;=Z$5,$F43&lt;=Z$5+6),"◇","")</f>
        <v>◆</v>
      </c>
      <c r="AA43" s="44" t="str">
        <f aca="false">IF(AND($G43&gt;=AA$5,$G43&lt;=AA$5+6),"◆","")&amp;IF(AND($F43&gt;=AA$5,$F43&lt;=AA$5+6),"◇","")</f>
        <v/>
      </c>
      <c r="AB43" s="44" t="str">
        <f aca="false">IF(AND($G43&gt;=AB$5,$G43&lt;=AB$5+6),"◆","")&amp;IF(AND($F43&gt;=AB$5,$F43&lt;=AB$5+6),"◇","")</f>
        <v/>
      </c>
      <c r="AC43" s="44" t="str">
        <f aca="false">IF(AND($G43&gt;=AC$5,$G43&lt;=AC$5+6),"◆","")&amp;IF(AND($F43&gt;=AC$5,$F43&lt;=AC$5+6),"◇","")</f>
        <v/>
      </c>
      <c r="AD43" s="44" t="str">
        <f aca="false">IF(AND($G43&gt;=AD$5,$G43&lt;=AD$5+6),"◆","")&amp;IF(AND($F43&gt;=AD$5,$F43&lt;=AD$5+6),"◇","")</f>
        <v/>
      </c>
      <c r="AE43" s="44" t="str">
        <f aca="false">IF(AND($G43&gt;=AE$5,$G43&lt;=AE$5+6),"◆","")&amp;IF(AND($F43&gt;=AE$5,$F43&lt;=AE$5+6),"◇","")</f>
        <v/>
      </c>
      <c r="AF43" s="44" t="str">
        <f aca="false">IF(AND($G43&gt;=AF$5,$G43&lt;=AF$5+6),"◆","")&amp;IF(AND($F43&gt;=AF$5,$F43&lt;=AF$5+6),"◇","")</f>
        <v>◇</v>
      </c>
      <c r="AG43" s="44" t="str">
        <f aca="false">IF(AND($G43&gt;=AG$5,$G43&lt;=AG$5+6),"◆","")&amp;IF(AND($F43&gt;=AG$5,$F43&lt;=AG$5+6),"◇","")</f>
        <v/>
      </c>
      <c r="AH43" s="44" t="str">
        <f aca="false">IF(AND($G43&gt;=AH$5,$G43&lt;=AH$5+6),"◆","")&amp;IF(AND($F43&gt;=AH$5,$F43&lt;=AH$5+6),"◇","")</f>
        <v/>
      </c>
      <c r="AI43" s="44" t="str">
        <f aca="false">IF(AND($G43&gt;=AI$5,$G43&lt;=AI$5+6),"◆","")&amp;IF(AND($F43&gt;=AI$5,$F43&lt;=AI$5+6),"◇","")</f>
        <v/>
      </c>
      <c r="AJ43" s="44" t="str">
        <f aca="false">IF(AND($G43&gt;=AJ$5,$G43&lt;=AJ$5+6),"◆","")&amp;IF(AND($F43&gt;=AJ$5,$F43&lt;=AJ$5+6),"◇","")</f>
        <v/>
      </c>
      <c r="AK43" s="44" t="str">
        <f aca="false">IF(AND($G43&gt;=AK$5,$G43&lt;=AK$5+6),"◆","")&amp;IF(AND($F43&gt;=AK$5,$F43&lt;=AK$5+6),"◇","")</f>
        <v/>
      </c>
      <c r="AL43" s="44" t="str">
        <f aca="false">IF(AND($G43&gt;=AL$5,$G43&lt;=AL$5+6),"◆","")&amp;IF(AND($F43&gt;=AL$5,$F43&lt;=AL$5+6),"◇","")</f>
        <v/>
      </c>
      <c r="AM43" s="44" t="str">
        <f aca="false">IF(AND($G43&gt;=AM$5,$G43&lt;=AM$5+6),"◆","")&amp;IF(AND($F43&gt;=AM$5,$F43&lt;=AM$5+6),"◇","")</f>
        <v/>
      </c>
      <c r="AN43" s="44" t="str">
        <f aca="false">IF(AND($G43&gt;=AN$5,$G43&lt;=AN$5+6),"◆","")&amp;IF(AND($F43&gt;=AN$5,$F43&lt;=AN$5+6),"◇","")</f>
        <v/>
      </c>
      <c r="AO43" s="44" t="str">
        <f aca="false">IF(AND($G43&gt;=AO$5,$G43&lt;=AO$5+6),"◆","")&amp;IF(AND($F43&gt;=AO$5,$F43&lt;=AO$5+6),"◇","")</f>
        <v/>
      </c>
      <c r="AP43" s="44" t="str">
        <f aca="false">IF(AND($G43&gt;=AP$5,$G43&lt;=AP$5+6),"◆","")&amp;IF(AND($F43&gt;=AP$5,$F43&lt;=AP$5+6),"◇","")</f>
        <v/>
      </c>
      <c r="AQ43" s="44" t="str">
        <f aca="false">IF(AND($G43&gt;=AQ$5,$G43&lt;=AQ$5+6),"◆","")&amp;IF(AND($F43&gt;=AQ$5,$F43&lt;=AQ$5+6),"◇","")</f>
        <v/>
      </c>
    </row>
    <row r="44" customFormat="false" ht="15" hidden="false" customHeight="false" outlineLevel="0" collapsed="false">
      <c r="A44" s="31" t="s">
        <v>212</v>
      </c>
      <c r="B44" s="5" t="s">
        <v>213</v>
      </c>
      <c r="C44" s="38" t="s">
        <v>172</v>
      </c>
      <c r="D44" s="41"/>
      <c r="E44" s="35" t="s">
        <v>214</v>
      </c>
      <c r="F44" s="40" t="n">
        <v>46466</v>
      </c>
      <c r="G44" s="36" t="n">
        <f aca="false">MAX(H33)</f>
        <v>46465</v>
      </c>
      <c r="H44" s="41"/>
      <c r="I44" s="42" t="str">
        <f aca="false">IF(J44&lt;=0,"OK","Desvío")</f>
        <v>OK</v>
      </c>
      <c r="J44" s="43" t="n">
        <f aca="false">G44-F44</f>
        <v>-1</v>
      </c>
      <c r="K44" s="44" t="str">
        <f aca="false">IF(AND($G44&gt;=K$5,$G44&lt;=K$5+6),"◆","")&amp;IF(AND($F44&gt;=K$5,$F44&lt;=K$5+6),"◇","")</f>
        <v/>
      </c>
      <c r="L44" s="44" t="str">
        <f aca="false">IF(AND($G44&gt;=L$5,$G44&lt;=L$5+6),"◆","")&amp;IF(AND($F44&gt;=L$5,$F44&lt;=L$5+6),"◇","")</f>
        <v/>
      </c>
      <c r="M44" s="44" t="str">
        <f aca="false">IF(AND($G44&gt;=M$5,$G44&lt;=M$5+6),"◆","")&amp;IF(AND($F44&gt;=M$5,$F44&lt;=M$5+6),"◇","")</f>
        <v/>
      </c>
      <c r="N44" s="44" t="str">
        <f aca="false">IF(AND($G44&gt;=N$5,$G44&lt;=N$5+6),"◆","")&amp;IF(AND($F44&gt;=N$5,$F44&lt;=N$5+6),"◇","")</f>
        <v/>
      </c>
      <c r="O44" s="44" t="str">
        <f aca="false">IF(AND($G44&gt;=O$5,$G44&lt;=O$5+6),"◆","")&amp;IF(AND($F44&gt;=O$5,$F44&lt;=O$5+6),"◇","")</f>
        <v/>
      </c>
      <c r="P44" s="44" t="str">
        <f aca="false">IF(AND($G44&gt;=P$5,$G44&lt;=P$5+6),"◆","")&amp;IF(AND($F44&gt;=P$5,$F44&lt;=P$5+6),"◇","")</f>
        <v/>
      </c>
      <c r="Q44" s="44" t="str">
        <f aca="false">IF(AND($G44&gt;=Q$5,$G44&lt;=Q$5+6),"◆","")&amp;IF(AND($F44&gt;=Q$5,$F44&lt;=Q$5+6),"◇","")</f>
        <v/>
      </c>
      <c r="R44" s="44" t="str">
        <f aca="false">IF(AND($G44&gt;=R$5,$G44&lt;=R$5+6),"◆","")&amp;IF(AND($F44&gt;=R$5,$F44&lt;=R$5+6),"◇","")</f>
        <v/>
      </c>
      <c r="S44" s="44" t="str">
        <f aca="false">IF(AND($G44&gt;=S$5,$G44&lt;=S$5+6),"◆","")&amp;IF(AND($F44&gt;=S$5,$F44&lt;=S$5+6),"◇","")</f>
        <v/>
      </c>
      <c r="T44" s="44" t="str">
        <f aca="false">IF(AND($G44&gt;=T$5,$G44&lt;=T$5+6),"◆","")&amp;IF(AND($F44&gt;=T$5,$F44&lt;=T$5+6),"◇","")</f>
        <v/>
      </c>
      <c r="U44" s="44" t="str">
        <f aca="false">IF(AND($G44&gt;=U$5,$G44&lt;=U$5+6),"◆","")&amp;IF(AND($F44&gt;=U$5,$F44&lt;=U$5+6),"◇","")</f>
        <v/>
      </c>
      <c r="V44" s="44" t="str">
        <f aca="false">IF(AND($G44&gt;=V$5,$G44&lt;=V$5+6),"◆","")&amp;IF(AND($F44&gt;=V$5,$F44&lt;=V$5+6),"◇","")</f>
        <v/>
      </c>
      <c r="W44" s="44" t="str">
        <f aca="false">IF(AND($G44&gt;=W$5,$G44&lt;=W$5+6),"◆","")&amp;IF(AND($F44&gt;=W$5,$F44&lt;=W$5+6),"◇","")</f>
        <v/>
      </c>
      <c r="X44" s="44" t="str">
        <f aca="false">IF(AND($G44&gt;=X$5,$G44&lt;=X$5+6),"◆","")&amp;IF(AND($F44&gt;=X$5,$F44&lt;=X$5+6),"◇","")</f>
        <v/>
      </c>
      <c r="Y44" s="44" t="str">
        <f aca="false">IF(AND($G44&gt;=Y$5,$G44&lt;=Y$5+6),"◆","")&amp;IF(AND($F44&gt;=Y$5,$F44&lt;=Y$5+6),"◇","")</f>
        <v/>
      </c>
      <c r="Z44" s="44" t="str">
        <f aca="false">IF(AND($G44&gt;=Z$5,$G44&lt;=Z$5+6),"◆","")&amp;IF(AND($F44&gt;=Z$5,$F44&lt;=Z$5+6),"◇","")</f>
        <v/>
      </c>
      <c r="AA44" s="44" t="str">
        <f aca="false">IF(AND($G44&gt;=AA$5,$G44&lt;=AA$5+6),"◆","")&amp;IF(AND($F44&gt;=AA$5,$F44&lt;=AA$5+6),"◇","")</f>
        <v/>
      </c>
      <c r="AB44" s="44" t="str">
        <f aca="false">IF(AND($G44&gt;=AB$5,$G44&lt;=AB$5+6),"◆","")&amp;IF(AND($F44&gt;=AB$5,$F44&lt;=AB$5+6),"◇","")</f>
        <v/>
      </c>
      <c r="AC44" s="44" t="str">
        <f aca="false">IF(AND($G44&gt;=AC$5,$G44&lt;=AC$5+6),"◆","")&amp;IF(AND($F44&gt;=AC$5,$F44&lt;=AC$5+6),"◇","")</f>
        <v/>
      </c>
      <c r="AD44" s="44" t="str">
        <f aca="false">IF(AND($G44&gt;=AD$5,$G44&lt;=AD$5+6),"◆","")&amp;IF(AND($F44&gt;=AD$5,$F44&lt;=AD$5+6),"◇","")</f>
        <v/>
      </c>
      <c r="AE44" s="44" t="str">
        <f aca="false">IF(AND($G44&gt;=AE$5,$G44&lt;=AE$5+6),"◆","")&amp;IF(AND($F44&gt;=AE$5,$F44&lt;=AE$5+6),"◇","")</f>
        <v/>
      </c>
      <c r="AF44" s="44" t="str">
        <f aca="false">IF(AND($G44&gt;=AF$5,$G44&lt;=AF$5+6),"◆","")&amp;IF(AND($F44&gt;=AF$5,$F44&lt;=AF$5+6),"◇","")</f>
        <v/>
      </c>
      <c r="AG44" s="44" t="str">
        <f aca="false">IF(AND($G44&gt;=AG$5,$G44&lt;=AG$5+6),"◆","")&amp;IF(AND($F44&gt;=AG$5,$F44&lt;=AG$5+6),"◇","")</f>
        <v/>
      </c>
      <c r="AH44" s="44" t="str">
        <f aca="false">IF(AND($G44&gt;=AH$5,$G44&lt;=AH$5+6),"◆","")&amp;IF(AND($F44&gt;=AH$5,$F44&lt;=AH$5+6),"◇","")</f>
        <v/>
      </c>
      <c r="AI44" s="44" t="str">
        <f aca="false">IF(AND($G44&gt;=AI$5,$G44&lt;=AI$5+6),"◆","")&amp;IF(AND($F44&gt;=AI$5,$F44&lt;=AI$5+6),"◇","")</f>
        <v>◆◇</v>
      </c>
      <c r="AJ44" s="44" t="str">
        <f aca="false">IF(AND($G44&gt;=AJ$5,$G44&lt;=AJ$5+6),"◆","")&amp;IF(AND($F44&gt;=AJ$5,$F44&lt;=AJ$5+6),"◇","")</f>
        <v/>
      </c>
      <c r="AK44" s="44" t="str">
        <f aca="false">IF(AND($G44&gt;=AK$5,$G44&lt;=AK$5+6),"◆","")&amp;IF(AND($F44&gt;=AK$5,$F44&lt;=AK$5+6),"◇","")</f>
        <v/>
      </c>
      <c r="AL44" s="44" t="str">
        <f aca="false">IF(AND($G44&gt;=AL$5,$G44&lt;=AL$5+6),"◆","")&amp;IF(AND($F44&gt;=AL$5,$F44&lt;=AL$5+6),"◇","")</f>
        <v/>
      </c>
      <c r="AM44" s="44" t="str">
        <f aca="false">IF(AND($G44&gt;=AM$5,$G44&lt;=AM$5+6),"◆","")&amp;IF(AND($F44&gt;=AM$5,$F44&lt;=AM$5+6),"◇","")</f>
        <v/>
      </c>
      <c r="AN44" s="44" t="str">
        <f aca="false">IF(AND($G44&gt;=AN$5,$G44&lt;=AN$5+6),"◆","")&amp;IF(AND($F44&gt;=AN$5,$F44&lt;=AN$5+6),"◇","")</f>
        <v/>
      </c>
      <c r="AO44" s="44" t="str">
        <f aca="false">IF(AND($G44&gt;=AO$5,$G44&lt;=AO$5+6),"◆","")&amp;IF(AND($F44&gt;=AO$5,$F44&lt;=AO$5+6),"◇","")</f>
        <v/>
      </c>
      <c r="AP44" s="44" t="str">
        <f aca="false">IF(AND($G44&gt;=AP$5,$G44&lt;=AP$5+6),"◆","")&amp;IF(AND($F44&gt;=AP$5,$F44&lt;=AP$5+6),"◇","")</f>
        <v/>
      </c>
      <c r="AQ44" s="44" t="str">
        <f aca="false">IF(AND($G44&gt;=AQ$5,$G44&lt;=AQ$5+6),"◆","")&amp;IF(AND($F44&gt;=AQ$5,$F44&lt;=AQ$5+6),"◇","")</f>
        <v/>
      </c>
    </row>
    <row r="45" customFormat="false" ht="15" hidden="false" customHeight="false" outlineLevel="0" collapsed="false">
      <c r="A45" s="31" t="s">
        <v>215</v>
      </c>
      <c r="B45" s="5" t="s">
        <v>216</v>
      </c>
      <c r="C45" s="38" t="s">
        <v>176</v>
      </c>
      <c r="D45" s="41"/>
      <c r="E45" s="35" t="s">
        <v>217</v>
      </c>
      <c r="F45" s="40" t="n">
        <v>46477</v>
      </c>
      <c r="G45" s="36" t="n">
        <f aca="false">G34</f>
        <v>46477</v>
      </c>
      <c r="H45" s="41"/>
      <c r="I45" s="42" t="str">
        <f aca="false">IF(J45&lt;=0,"OK","Desvío")</f>
        <v>OK</v>
      </c>
      <c r="J45" s="43" t="n">
        <f aca="false">G45-F45</f>
        <v>0</v>
      </c>
      <c r="K45" s="44" t="str">
        <f aca="false">IF(AND($G45&gt;=K$5,$G45&lt;=K$5+6),"◆","")&amp;IF(AND($F45&gt;=K$5,$F45&lt;=K$5+6),"◇","")</f>
        <v/>
      </c>
      <c r="L45" s="44" t="str">
        <f aca="false">IF(AND($G45&gt;=L$5,$G45&lt;=L$5+6),"◆","")&amp;IF(AND($F45&gt;=L$5,$F45&lt;=L$5+6),"◇","")</f>
        <v/>
      </c>
      <c r="M45" s="44" t="str">
        <f aca="false">IF(AND($G45&gt;=M$5,$G45&lt;=M$5+6),"◆","")&amp;IF(AND($F45&gt;=M$5,$F45&lt;=M$5+6),"◇","")</f>
        <v/>
      </c>
      <c r="N45" s="44" t="str">
        <f aca="false">IF(AND($G45&gt;=N$5,$G45&lt;=N$5+6),"◆","")&amp;IF(AND($F45&gt;=N$5,$F45&lt;=N$5+6),"◇","")</f>
        <v/>
      </c>
      <c r="O45" s="44" t="str">
        <f aca="false">IF(AND($G45&gt;=O$5,$G45&lt;=O$5+6),"◆","")&amp;IF(AND($F45&gt;=O$5,$F45&lt;=O$5+6),"◇","")</f>
        <v/>
      </c>
      <c r="P45" s="44" t="str">
        <f aca="false">IF(AND($G45&gt;=P$5,$G45&lt;=P$5+6),"◆","")&amp;IF(AND($F45&gt;=P$5,$F45&lt;=P$5+6),"◇","")</f>
        <v/>
      </c>
      <c r="Q45" s="44" t="str">
        <f aca="false">IF(AND($G45&gt;=Q$5,$G45&lt;=Q$5+6),"◆","")&amp;IF(AND($F45&gt;=Q$5,$F45&lt;=Q$5+6),"◇","")</f>
        <v/>
      </c>
      <c r="R45" s="44" t="str">
        <f aca="false">IF(AND($G45&gt;=R$5,$G45&lt;=R$5+6),"◆","")&amp;IF(AND($F45&gt;=R$5,$F45&lt;=R$5+6),"◇","")</f>
        <v/>
      </c>
      <c r="S45" s="44" t="str">
        <f aca="false">IF(AND($G45&gt;=S$5,$G45&lt;=S$5+6),"◆","")&amp;IF(AND($F45&gt;=S$5,$F45&lt;=S$5+6),"◇","")</f>
        <v/>
      </c>
      <c r="T45" s="44" t="str">
        <f aca="false">IF(AND($G45&gt;=T$5,$G45&lt;=T$5+6),"◆","")&amp;IF(AND($F45&gt;=T$5,$F45&lt;=T$5+6),"◇","")</f>
        <v/>
      </c>
      <c r="U45" s="44" t="str">
        <f aca="false">IF(AND($G45&gt;=U$5,$G45&lt;=U$5+6),"◆","")&amp;IF(AND($F45&gt;=U$5,$F45&lt;=U$5+6),"◇","")</f>
        <v/>
      </c>
      <c r="V45" s="44" t="str">
        <f aca="false">IF(AND($G45&gt;=V$5,$G45&lt;=V$5+6),"◆","")&amp;IF(AND($F45&gt;=V$5,$F45&lt;=V$5+6),"◇","")</f>
        <v/>
      </c>
      <c r="W45" s="44" t="str">
        <f aca="false">IF(AND($G45&gt;=W$5,$G45&lt;=W$5+6),"◆","")&amp;IF(AND($F45&gt;=W$5,$F45&lt;=W$5+6),"◇","")</f>
        <v/>
      </c>
      <c r="X45" s="44" t="str">
        <f aca="false">IF(AND($G45&gt;=X$5,$G45&lt;=X$5+6),"◆","")&amp;IF(AND($F45&gt;=X$5,$F45&lt;=X$5+6),"◇","")</f>
        <v/>
      </c>
      <c r="Y45" s="44" t="str">
        <f aca="false">IF(AND($G45&gt;=Y$5,$G45&lt;=Y$5+6),"◆","")&amp;IF(AND($F45&gt;=Y$5,$F45&lt;=Y$5+6),"◇","")</f>
        <v/>
      </c>
      <c r="Z45" s="44" t="str">
        <f aca="false">IF(AND($G45&gt;=Z$5,$G45&lt;=Z$5+6),"◆","")&amp;IF(AND($F45&gt;=Z$5,$F45&lt;=Z$5+6),"◇","")</f>
        <v/>
      </c>
      <c r="AA45" s="44" t="str">
        <f aca="false">IF(AND($G45&gt;=AA$5,$G45&lt;=AA$5+6),"◆","")&amp;IF(AND($F45&gt;=AA$5,$F45&lt;=AA$5+6),"◇","")</f>
        <v/>
      </c>
      <c r="AB45" s="44" t="str">
        <f aca="false">IF(AND($G45&gt;=AB$5,$G45&lt;=AB$5+6),"◆","")&amp;IF(AND($F45&gt;=AB$5,$F45&lt;=AB$5+6),"◇","")</f>
        <v/>
      </c>
      <c r="AC45" s="44" t="str">
        <f aca="false">IF(AND($G45&gt;=AC$5,$G45&lt;=AC$5+6),"◆","")&amp;IF(AND($F45&gt;=AC$5,$F45&lt;=AC$5+6),"◇","")</f>
        <v/>
      </c>
      <c r="AD45" s="44" t="str">
        <f aca="false">IF(AND($G45&gt;=AD$5,$G45&lt;=AD$5+6),"◆","")&amp;IF(AND($F45&gt;=AD$5,$F45&lt;=AD$5+6),"◇","")</f>
        <v/>
      </c>
      <c r="AE45" s="44" t="str">
        <f aca="false">IF(AND($G45&gt;=AE$5,$G45&lt;=AE$5+6),"◆","")&amp;IF(AND($F45&gt;=AE$5,$F45&lt;=AE$5+6),"◇","")</f>
        <v/>
      </c>
      <c r="AF45" s="44" t="str">
        <f aca="false">IF(AND($G45&gt;=AF$5,$G45&lt;=AF$5+6),"◆","")&amp;IF(AND($F45&gt;=AF$5,$F45&lt;=AF$5+6),"◇","")</f>
        <v/>
      </c>
      <c r="AG45" s="44" t="str">
        <f aca="false">IF(AND($G45&gt;=AG$5,$G45&lt;=AG$5+6),"◆","")&amp;IF(AND($F45&gt;=AG$5,$F45&lt;=AG$5+6),"◇","")</f>
        <v/>
      </c>
      <c r="AH45" s="44" t="str">
        <f aca="false">IF(AND($G45&gt;=AH$5,$G45&lt;=AH$5+6),"◆","")&amp;IF(AND($F45&gt;=AH$5,$F45&lt;=AH$5+6),"◇","")</f>
        <v/>
      </c>
      <c r="AI45" s="44" t="str">
        <f aca="false">IF(AND($G45&gt;=AI$5,$G45&lt;=AI$5+6),"◆","")&amp;IF(AND($F45&gt;=AI$5,$F45&lt;=AI$5+6),"◇","")</f>
        <v/>
      </c>
      <c r="AJ45" s="44" t="str">
        <f aca="false">IF(AND($G45&gt;=AJ$5,$G45&lt;=AJ$5+6),"◆","")&amp;IF(AND($F45&gt;=AJ$5,$F45&lt;=AJ$5+6),"◇","")</f>
        <v/>
      </c>
      <c r="AK45" s="44" t="str">
        <f aca="false">IF(AND($G45&gt;=AK$5,$G45&lt;=AK$5+6),"◆","")&amp;IF(AND($F45&gt;=AK$5,$F45&lt;=AK$5+6),"◇","")</f>
        <v>◆◇</v>
      </c>
      <c r="AL45" s="44" t="str">
        <f aca="false">IF(AND($G45&gt;=AL$5,$G45&lt;=AL$5+6),"◆","")&amp;IF(AND($F45&gt;=AL$5,$F45&lt;=AL$5+6),"◇","")</f>
        <v/>
      </c>
      <c r="AM45" s="44" t="str">
        <f aca="false">IF(AND($G45&gt;=AM$5,$G45&lt;=AM$5+6),"◆","")&amp;IF(AND($F45&gt;=AM$5,$F45&lt;=AM$5+6),"◇","")</f>
        <v/>
      </c>
      <c r="AN45" s="44" t="str">
        <f aca="false">IF(AND($G45&gt;=AN$5,$G45&lt;=AN$5+6),"◆","")&amp;IF(AND($F45&gt;=AN$5,$F45&lt;=AN$5+6),"◇","")</f>
        <v/>
      </c>
      <c r="AO45" s="44" t="str">
        <f aca="false">IF(AND($G45&gt;=AO$5,$G45&lt;=AO$5+6),"◆","")&amp;IF(AND($F45&gt;=AO$5,$F45&lt;=AO$5+6),"◇","")</f>
        <v/>
      </c>
      <c r="AP45" s="44" t="str">
        <f aca="false">IF(AND($G45&gt;=AP$5,$G45&lt;=AP$5+6),"◆","")&amp;IF(AND($F45&gt;=AP$5,$F45&lt;=AP$5+6),"◇","")</f>
        <v/>
      </c>
      <c r="AQ45" s="44" t="str">
        <f aca="false">IF(AND($G45&gt;=AQ$5,$G45&lt;=AQ$5+6),"◆","")&amp;IF(AND($F45&gt;=AQ$5,$F45&lt;=AQ$5+6),"◇","")</f>
        <v/>
      </c>
    </row>
    <row r="46" customFormat="false" ht="15" hidden="false" customHeight="false" outlineLevel="0" collapsed="false">
      <c r="A46" s="31" t="s">
        <v>218</v>
      </c>
      <c r="B46" s="5" t="s">
        <v>219</v>
      </c>
      <c r="C46" s="38" t="s">
        <v>220</v>
      </c>
      <c r="D46" s="41"/>
      <c r="E46" s="35" t="s">
        <v>221</v>
      </c>
      <c r="F46" s="40" t="n">
        <v>46507</v>
      </c>
      <c r="G46" s="36" t="n">
        <f aca="false">MAX(H34,H35,H36,H11)</f>
        <v>46507</v>
      </c>
      <c r="H46" s="41"/>
      <c r="I46" s="42" t="str">
        <f aca="false">IF(J46&lt;=0,"OK","Desvío")</f>
        <v>OK</v>
      </c>
      <c r="J46" s="43" t="n">
        <f aca="false">G46-F46</f>
        <v>0</v>
      </c>
      <c r="K46" s="44" t="str">
        <f aca="false">IF(AND($G46&gt;=K$5,$G46&lt;=K$5+6),"◆","")&amp;IF(AND($F46&gt;=K$5,$F46&lt;=K$5+6),"◇","")</f>
        <v/>
      </c>
      <c r="L46" s="44" t="str">
        <f aca="false">IF(AND($G46&gt;=L$5,$G46&lt;=L$5+6),"◆","")&amp;IF(AND($F46&gt;=L$5,$F46&lt;=L$5+6),"◇","")</f>
        <v/>
      </c>
      <c r="M46" s="44" t="str">
        <f aca="false">IF(AND($G46&gt;=M$5,$G46&lt;=M$5+6),"◆","")&amp;IF(AND($F46&gt;=M$5,$F46&lt;=M$5+6),"◇","")</f>
        <v/>
      </c>
      <c r="N46" s="44" t="str">
        <f aca="false">IF(AND($G46&gt;=N$5,$G46&lt;=N$5+6),"◆","")&amp;IF(AND($F46&gt;=N$5,$F46&lt;=N$5+6),"◇","")</f>
        <v/>
      </c>
      <c r="O46" s="44" t="str">
        <f aca="false">IF(AND($G46&gt;=O$5,$G46&lt;=O$5+6),"◆","")&amp;IF(AND($F46&gt;=O$5,$F46&lt;=O$5+6),"◇","")</f>
        <v/>
      </c>
      <c r="P46" s="44" t="str">
        <f aca="false">IF(AND($G46&gt;=P$5,$G46&lt;=P$5+6),"◆","")&amp;IF(AND($F46&gt;=P$5,$F46&lt;=P$5+6),"◇","")</f>
        <v/>
      </c>
      <c r="Q46" s="44" t="str">
        <f aca="false">IF(AND($G46&gt;=Q$5,$G46&lt;=Q$5+6),"◆","")&amp;IF(AND($F46&gt;=Q$5,$F46&lt;=Q$5+6),"◇","")</f>
        <v/>
      </c>
      <c r="R46" s="44" t="str">
        <f aca="false">IF(AND($G46&gt;=R$5,$G46&lt;=R$5+6),"◆","")&amp;IF(AND($F46&gt;=R$5,$F46&lt;=R$5+6),"◇","")</f>
        <v/>
      </c>
      <c r="S46" s="44" t="str">
        <f aca="false">IF(AND($G46&gt;=S$5,$G46&lt;=S$5+6),"◆","")&amp;IF(AND($F46&gt;=S$5,$F46&lt;=S$5+6),"◇","")</f>
        <v/>
      </c>
      <c r="T46" s="44" t="str">
        <f aca="false">IF(AND($G46&gt;=T$5,$G46&lt;=T$5+6),"◆","")&amp;IF(AND($F46&gt;=T$5,$F46&lt;=T$5+6),"◇","")</f>
        <v/>
      </c>
      <c r="U46" s="44" t="str">
        <f aca="false">IF(AND($G46&gt;=U$5,$G46&lt;=U$5+6),"◆","")&amp;IF(AND($F46&gt;=U$5,$F46&lt;=U$5+6),"◇","")</f>
        <v/>
      </c>
      <c r="V46" s="44" t="str">
        <f aca="false">IF(AND($G46&gt;=V$5,$G46&lt;=V$5+6),"◆","")&amp;IF(AND($F46&gt;=V$5,$F46&lt;=V$5+6),"◇","")</f>
        <v/>
      </c>
      <c r="W46" s="44" t="str">
        <f aca="false">IF(AND($G46&gt;=W$5,$G46&lt;=W$5+6),"◆","")&amp;IF(AND($F46&gt;=W$5,$F46&lt;=W$5+6),"◇","")</f>
        <v/>
      </c>
      <c r="X46" s="44" t="str">
        <f aca="false">IF(AND($G46&gt;=X$5,$G46&lt;=X$5+6),"◆","")&amp;IF(AND($F46&gt;=X$5,$F46&lt;=X$5+6),"◇","")</f>
        <v/>
      </c>
      <c r="Y46" s="44" t="str">
        <f aca="false">IF(AND($G46&gt;=Y$5,$G46&lt;=Y$5+6),"◆","")&amp;IF(AND($F46&gt;=Y$5,$F46&lt;=Y$5+6),"◇","")</f>
        <v/>
      </c>
      <c r="Z46" s="44" t="str">
        <f aca="false">IF(AND($G46&gt;=Z$5,$G46&lt;=Z$5+6),"◆","")&amp;IF(AND($F46&gt;=Z$5,$F46&lt;=Z$5+6),"◇","")</f>
        <v/>
      </c>
      <c r="AA46" s="44" t="str">
        <f aca="false">IF(AND($G46&gt;=AA$5,$G46&lt;=AA$5+6),"◆","")&amp;IF(AND($F46&gt;=AA$5,$F46&lt;=AA$5+6),"◇","")</f>
        <v/>
      </c>
      <c r="AB46" s="44" t="str">
        <f aca="false">IF(AND($G46&gt;=AB$5,$G46&lt;=AB$5+6),"◆","")&amp;IF(AND($F46&gt;=AB$5,$F46&lt;=AB$5+6),"◇","")</f>
        <v/>
      </c>
      <c r="AC46" s="44" t="str">
        <f aca="false">IF(AND($G46&gt;=AC$5,$G46&lt;=AC$5+6),"◆","")&amp;IF(AND($F46&gt;=AC$5,$F46&lt;=AC$5+6),"◇","")</f>
        <v/>
      </c>
      <c r="AD46" s="44" t="str">
        <f aca="false">IF(AND($G46&gt;=AD$5,$G46&lt;=AD$5+6),"◆","")&amp;IF(AND($F46&gt;=AD$5,$F46&lt;=AD$5+6),"◇","")</f>
        <v/>
      </c>
      <c r="AE46" s="44" t="str">
        <f aca="false">IF(AND($G46&gt;=AE$5,$G46&lt;=AE$5+6),"◆","")&amp;IF(AND($F46&gt;=AE$5,$F46&lt;=AE$5+6),"◇","")</f>
        <v/>
      </c>
      <c r="AF46" s="44" t="str">
        <f aca="false">IF(AND($G46&gt;=AF$5,$G46&lt;=AF$5+6),"◆","")&amp;IF(AND($F46&gt;=AF$5,$F46&lt;=AF$5+6),"◇","")</f>
        <v/>
      </c>
      <c r="AG46" s="44" t="str">
        <f aca="false">IF(AND($G46&gt;=AG$5,$G46&lt;=AG$5+6),"◆","")&amp;IF(AND($F46&gt;=AG$5,$F46&lt;=AG$5+6),"◇","")</f>
        <v/>
      </c>
      <c r="AH46" s="44" t="str">
        <f aca="false">IF(AND($G46&gt;=AH$5,$G46&lt;=AH$5+6),"◆","")&amp;IF(AND($F46&gt;=AH$5,$F46&lt;=AH$5+6),"◇","")</f>
        <v/>
      </c>
      <c r="AI46" s="44" t="str">
        <f aca="false">IF(AND($G46&gt;=AI$5,$G46&lt;=AI$5+6),"◆","")&amp;IF(AND($F46&gt;=AI$5,$F46&lt;=AI$5+6),"◇","")</f>
        <v/>
      </c>
      <c r="AJ46" s="44" t="str">
        <f aca="false">IF(AND($G46&gt;=AJ$5,$G46&lt;=AJ$5+6),"◆","")&amp;IF(AND($F46&gt;=AJ$5,$F46&lt;=AJ$5+6),"◇","")</f>
        <v/>
      </c>
      <c r="AK46" s="44" t="str">
        <f aca="false">IF(AND($G46&gt;=AK$5,$G46&lt;=AK$5+6),"◆","")&amp;IF(AND($F46&gt;=AK$5,$F46&lt;=AK$5+6),"◇","")</f>
        <v/>
      </c>
      <c r="AL46" s="44" t="str">
        <f aca="false">IF(AND($G46&gt;=AL$5,$G46&lt;=AL$5+6),"◆","")&amp;IF(AND($F46&gt;=AL$5,$F46&lt;=AL$5+6),"◇","")</f>
        <v/>
      </c>
      <c r="AM46" s="44" t="str">
        <f aca="false">IF(AND($G46&gt;=AM$5,$G46&lt;=AM$5+6),"◆","")&amp;IF(AND($F46&gt;=AM$5,$F46&lt;=AM$5+6),"◇","")</f>
        <v/>
      </c>
      <c r="AN46" s="44" t="str">
        <f aca="false">IF(AND($G46&gt;=AN$5,$G46&lt;=AN$5+6),"◆","")&amp;IF(AND($F46&gt;=AN$5,$F46&lt;=AN$5+6),"◇","")</f>
        <v/>
      </c>
      <c r="AO46" s="44" t="str">
        <f aca="false">IF(AND($G46&gt;=AO$5,$G46&lt;=AO$5+6),"◆","")&amp;IF(AND($F46&gt;=AO$5,$F46&lt;=AO$5+6),"◇","")</f>
        <v>◆◇</v>
      </c>
      <c r="AP46" s="44" t="str">
        <f aca="false">IF(AND($G46&gt;=AP$5,$G46&lt;=AP$5+6),"◆","")&amp;IF(AND($F46&gt;=AP$5,$F46&lt;=AP$5+6),"◇","")</f>
        <v/>
      </c>
      <c r="AQ46" s="44" t="str">
        <f aca="false">IF(AND($G46&gt;=AQ$5,$G46&lt;=AQ$5+6),"◆","")&amp;IF(AND($F46&gt;=AQ$5,$F46&lt;=AQ$5+6),"◇","")</f>
        <v/>
      </c>
    </row>
    <row r="47" customFormat="false" ht="15" hidden="false" customHeight="false" outlineLevel="0" collapsed="false">
      <c r="A47" s="31" t="s">
        <v>222</v>
      </c>
      <c r="B47" s="5" t="s">
        <v>223</v>
      </c>
      <c r="C47" s="41"/>
      <c r="D47" s="41"/>
      <c r="E47" s="41"/>
      <c r="F47" s="45" t="n">
        <f aca="false">BalIni</f>
        <v>46388</v>
      </c>
      <c r="G47" s="45" t="n">
        <f aca="false">BalFin</f>
        <v>46461</v>
      </c>
      <c r="H47" s="41"/>
      <c r="I47" s="41"/>
      <c r="J47" s="46" t="s">
        <v>224</v>
      </c>
    </row>
    <row r="49" customFormat="false" ht="15" hidden="false" customHeight="false" outlineLevel="0" collapsed="false">
      <c r="A49" s="47" t="s">
        <v>225</v>
      </c>
    </row>
    <row r="50" customFormat="false" ht="15" hidden="false" customHeight="false" outlineLevel="0" collapsed="false">
      <c r="A50" s="24" t="s">
        <v>226</v>
      </c>
    </row>
    <row r="51" customFormat="false" ht="15" hidden="false" customHeight="false" outlineLevel="0" collapsed="false">
      <c r="A51" s="24" t="s">
        <v>227</v>
      </c>
    </row>
    <row r="52" customFormat="false" ht="15" hidden="false" customHeight="false" outlineLevel="0" collapsed="false">
      <c r="A52" s="24" t="s">
        <v>228</v>
      </c>
    </row>
    <row r="53" customFormat="false" ht="15" hidden="false" customHeight="false" outlineLevel="0" collapsed="false">
      <c r="A53" s="24" t="s">
        <v>229</v>
      </c>
    </row>
  </sheetData>
  <conditionalFormatting sqref="K6:AQ36">
    <cfRule type="expression" priority="2" aboveAverage="0" equalAverage="0" bottom="0" percent="0" rank="0" text="" dxfId="0">
      <formula>AND($A6="1.5",$G6&lt;=K$5+6,$H6&gt;=K$5)</formula>
    </cfRule>
    <cfRule type="expression" priority="3" aboveAverage="0" equalAverage="0" bottom="0" percent="0" rank="0" text="" dxfId="1">
      <formula>AND($I6="Sí",$G6&lt;=K$5+6,$H6&gt;=K$5)</formula>
    </cfRule>
    <cfRule type="expression" priority="4" aboveAverage="0" equalAverage="0" bottom="0" percent="0" rank="0" text="" dxfId="2">
      <formula>AND($G6&lt;=K$5+6,$H6&gt;=K$5)</formula>
    </cfRule>
    <cfRule type="expression" priority="5" aboveAverage="0" equalAverage="0" bottom="0" percent="0" rank="0" text="" dxfId="3">
      <formula>AND(K$5&lt;=$J$3,K$5+6&gt;=$J$2)</formula>
    </cfRule>
  </conditionalFormatting>
  <conditionalFormatting sqref="J6:J36">
    <cfRule type="expression" priority="6" aboveAverage="0" equalAverage="0" bottom="0" percent="0" rank="0" text="" dxfId="4">
      <formula>LEFT(J6,1)="⚠"</formula>
    </cfRule>
  </conditionalFormatting>
  <conditionalFormatting sqref="I39:I46">
    <cfRule type="expression" priority="7" aboveAverage="0" equalAverage="0" bottom="0" percent="0" rank="0" text="" dxfId="4">
      <formula>I39="Desvío"</formula>
    </cfRule>
    <cfRule type="expression" priority="8" aboveAverage="0" equalAverage="0" bottom="0" percent="0" rank="0" text="" dxfId="5">
      <formula>I39="OK"</formula>
    </cfRule>
  </conditionalFormatting>
  <conditionalFormatting sqref="K39:AQ46">
    <cfRule type="expression" priority="9" aboveAverage="0" equalAverage="0" bottom="0" percent="0" rank="0" text="" dxfId="3">
      <formula>AND(K$5&lt;=$J$3,K$5+6&gt;=$J$2)</formula>
    </cfRule>
  </conditionalFormatting>
  <conditionalFormatting sqref="K47:AQ47">
    <cfRule type="expression" priority="10" aboveAverage="0" equalAverage="0" bottom="0" percent="0" rank="0" text="" dxfId="6">
      <formula>AND($F47&lt;=K$5+6,$G47&gt;=K$5)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8"/>
    <col collapsed="false" customWidth="true" hidden="false" outlineLevel="0" max="3" min="3" style="1" width="18"/>
    <col collapsed="false" customWidth="true" hidden="false" outlineLevel="0" max="4" min="4" style="1" width="26"/>
    <col collapsed="false" customWidth="true" hidden="false" outlineLevel="0" max="6" min="5" style="1" width="12"/>
    <col collapsed="false" customWidth="true" hidden="false" outlineLevel="0" max="7" min="7" style="1" width="14"/>
    <col collapsed="false" customWidth="true" hidden="false" outlineLevel="0" max="16" min="8" style="1" width="12"/>
  </cols>
  <sheetData>
    <row r="1" customFormat="false" ht="17.35" hidden="false" customHeight="false" outlineLevel="0" collapsed="false">
      <c r="A1" s="2" t="s">
        <v>230</v>
      </c>
    </row>
    <row r="2" customFormat="false" ht="15" hidden="false" customHeight="false" outlineLevel="0" collapsed="false">
      <c r="A2" s="3" t="s">
        <v>231</v>
      </c>
    </row>
    <row r="5" customFormat="false" ht="30" hidden="false" customHeight="true" outlineLevel="0" collapsed="false">
      <c r="A5" s="14" t="s">
        <v>86</v>
      </c>
      <c r="B5" s="14" t="s">
        <v>232</v>
      </c>
      <c r="C5" s="14" t="s">
        <v>233</v>
      </c>
      <c r="D5" s="14" t="s">
        <v>234</v>
      </c>
      <c r="E5" s="14" t="s">
        <v>92</v>
      </c>
      <c r="F5" s="14" t="s">
        <v>93</v>
      </c>
      <c r="G5" s="14" t="s">
        <v>235</v>
      </c>
      <c r="H5" s="48" t="n">
        <f aca="false">DATE(YEAR(InicioProyecto),MONTH(InicioProyecto),1)</f>
        <v>46296</v>
      </c>
      <c r="I5" s="48" t="n">
        <f aca="false">EDATE(H5,1)</f>
        <v>46327</v>
      </c>
      <c r="J5" s="48" t="n">
        <f aca="false">EDATE(I5,1)</f>
        <v>46357</v>
      </c>
      <c r="K5" s="48" t="n">
        <f aca="false">EDATE(J5,1)</f>
        <v>46388</v>
      </c>
      <c r="L5" s="48" t="n">
        <f aca="false">EDATE(K5,1)</f>
        <v>46419</v>
      </c>
      <c r="M5" s="48" t="n">
        <f aca="false">EDATE(L5,1)</f>
        <v>46447</v>
      </c>
      <c r="N5" s="48" t="n">
        <f aca="false">EDATE(M5,1)</f>
        <v>46478</v>
      </c>
      <c r="O5" s="48" t="n">
        <f aca="false">EDATE(N5,1)</f>
        <v>46508</v>
      </c>
      <c r="P5" s="14" t="s">
        <v>236</v>
      </c>
    </row>
    <row r="6" customFormat="false" ht="15" hidden="false" customHeight="false" outlineLevel="0" collapsed="false">
      <c r="A6" s="49" t="str">
        <f aca="false">Cronograma!A6</f>
        <v>1.5</v>
      </c>
      <c r="B6" s="49" t="str">
        <f aca="false">Cronograma!B6</f>
        <v>Seguimiento, cambios e informes (tarea resumen)</v>
      </c>
      <c r="C6" s="5" t="s">
        <v>87</v>
      </c>
      <c r="D6" s="33" t="s">
        <v>237</v>
      </c>
      <c r="E6" s="45" t="n">
        <f aca="false">Cronograma!G6</f>
        <v>46308</v>
      </c>
      <c r="F6" s="45" t="n">
        <f aca="false">Cronograma!H6</f>
        <v>46507</v>
      </c>
      <c r="G6" s="50" t="n">
        <v>14000</v>
      </c>
      <c r="H6" s="51" t="n">
        <f aca="false">IF(NETWORKDAYS($E6,$F6,Feriados)&lt;=0,0,$G6*MAX(0,NETWORKDAYS(MAX($E6,H$5),MIN($F6,EOMONTH(H$5,0)),Feriados))/NETWORKDAYS($E6,$F6,Feriados))</f>
        <v>1473.68421052632</v>
      </c>
      <c r="I6" s="51" t="n">
        <f aca="false">IF(NETWORKDAYS($E6,$F6,Feriados)&lt;=0,0,$G6*MAX(0,NETWORKDAYS(MAX($E6,I$5),MIN($F6,EOMONTH(I$5,0)),Feriados))/NETWORKDAYS($E6,$F6,Feriados))</f>
        <v>2105.26315789474</v>
      </c>
      <c r="J6" s="51" t="n">
        <f aca="false">IF(NETWORKDAYS($E6,$F6,Feriados)&lt;=0,0,$G6*MAX(0,NETWORKDAYS(MAX($E6,J$5),MIN($F6,EOMONTH(J$5,0)),Feriados))/NETWORKDAYS($E6,$F6,Feriados))</f>
        <v>2105.26315789474</v>
      </c>
      <c r="K6" s="51" t="n">
        <f aca="false">IF(NETWORKDAYS($E6,$F6,Feriados)&lt;=0,0,$G6*MAX(0,NETWORKDAYS(MAX($E6,K$5),MIN($F6,EOMONTH(K$5,0)),Feriados))/NETWORKDAYS($E6,$F6,Feriados))</f>
        <v>2105.26315789474</v>
      </c>
      <c r="L6" s="51" t="n">
        <f aca="false">IF(NETWORKDAYS($E6,$F6,Feriados)&lt;=0,0,$G6*MAX(0,NETWORKDAYS(MAX($E6,L$5),MIN($F6,EOMONTH(L$5,0)),Feriados))/NETWORKDAYS($E6,$F6,Feriados))</f>
        <v>1894.73684210526</v>
      </c>
      <c r="M6" s="51" t="n">
        <f aca="false">IF(NETWORKDAYS($E6,$F6,Feriados)&lt;=0,0,$G6*MAX(0,NETWORKDAYS(MAX($E6,M$5),MIN($F6,EOMONTH(M$5,0)),Feriados))/NETWORKDAYS($E6,$F6,Feriados))</f>
        <v>2105.26315789474</v>
      </c>
      <c r="N6" s="51" t="n">
        <f aca="false">IF(NETWORKDAYS($E6,$F6,Feriados)&lt;=0,0,$G6*MAX(0,NETWORKDAYS(MAX($E6,N$5),MIN($F6,EOMONTH(N$5,0)),Feriados))/NETWORKDAYS($E6,$F6,Feriados))</f>
        <v>2210.52631578947</v>
      </c>
      <c r="O6" s="51" t="n">
        <f aca="false">IF(NETWORKDAYS($E6,$F6,Feriados)&lt;=0,0,$G6*MAX(0,NETWORKDAYS(MAX($E6,O$5),MIN($F6,EOMONTH(O$5,0)),Feriados))/NETWORKDAYS($E6,$F6,Feriados))</f>
        <v>0</v>
      </c>
      <c r="P6" s="52" t="n">
        <f aca="false">ROUND(SUM(H6:O6)-G6,2)</f>
        <v>0</v>
      </c>
    </row>
    <row r="7" customFormat="false" ht="15" hidden="false" customHeight="false" outlineLevel="0" collapsed="false">
      <c r="A7" s="49" t="str">
        <f aca="false">Cronograma!A7</f>
        <v>1.1</v>
      </c>
      <c r="B7" s="49" t="str">
        <f aca="false">Cronograma!B7</f>
        <v>Acta de constitución</v>
      </c>
      <c r="C7" s="5" t="s">
        <v>87</v>
      </c>
      <c r="D7" s="33" t="s">
        <v>237</v>
      </c>
      <c r="E7" s="45" t="n">
        <f aca="false">Cronograma!G7</f>
        <v>46296</v>
      </c>
      <c r="F7" s="45" t="n">
        <f aca="false">Cronograma!H7</f>
        <v>46297</v>
      </c>
      <c r="G7" s="50" t="n">
        <v>2700</v>
      </c>
      <c r="H7" s="51" t="n">
        <f aca="false">IF(NETWORKDAYS($E7,$F7,Feriados)&lt;=0,0,$G7*MAX(0,NETWORKDAYS(MAX($E7,H$5),MIN($F7,EOMONTH(H$5,0)),Feriados))/NETWORKDAYS($E7,$F7,Feriados))</f>
        <v>2700</v>
      </c>
      <c r="I7" s="51" t="n">
        <f aca="false">IF(NETWORKDAYS($E7,$F7,Feriados)&lt;=0,0,$G7*MAX(0,NETWORKDAYS(MAX($E7,I$5),MIN($F7,EOMONTH(I$5,0)),Feriados))/NETWORKDAYS($E7,$F7,Feriados))</f>
        <v>0</v>
      </c>
      <c r="J7" s="51" t="n">
        <f aca="false">IF(NETWORKDAYS($E7,$F7,Feriados)&lt;=0,0,$G7*MAX(0,NETWORKDAYS(MAX($E7,J$5),MIN($F7,EOMONTH(J$5,0)),Feriados))/NETWORKDAYS($E7,$F7,Feriados))</f>
        <v>0</v>
      </c>
      <c r="K7" s="51" t="n">
        <f aca="false">IF(NETWORKDAYS($E7,$F7,Feriados)&lt;=0,0,$G7*MAX(0,NETWORKDAYS(MAX($E7,K$5),MIN($F7,EOMONTH(K$5,0)),Feriados))/NETWORKDAYS($E7,$F7,Feriados))</f>
        <v>0</v>
      </c>
      <c r="L7" s="51" t="n">
        <f aca="false">IF(NETWORKDAYS($E7,$F7,Feriados)&lt;=0,0,$G7*MAX(0,NETWORKDAYS(MAX($E7,L$5),MIN($F7,EOMONTH(L$5,0)),Feriados))/NETWORKDAYS($E7,$F7,Feriados))</f>
        <v>0</v>
      </c>
      <c r="M7" s="51" t="n">
        <f aca="false">IF(NETWORKDAYS($E7,$F7,Feriados)&lt;=0,0,$G7*MAX(0,NETWORKDAYS(MAX($E7,M$5),MIN($F7,EOMONTH(M$5,0)),Feriados))/NETWORKDAYS($E7,$F7,Feriados))</f>
        <v>0</v>
      </c>
      <c r="N7" s="51" t="n">
        <f aca="false">IF(NETWORKDAYS($E7,$F7,Feriados)&lt;=0,0,$G7*MAX(0,NETWORKDAYS(MAX($E7,N$5),MIN($F7,EOMONTH(N$5,0)),Feriados))/NETWORKDAYS($E7,$F7,Feriados))</f>
        <v>0</v>
      </c>
      <c r="O7" s="51" t="n">
        <f aca="false">IF(NETWORKDAYS($E7,$F7,Feriados)&lt;=0,0,$G7*MAX(0,NETWORKDAYS(MAX($E7,O$5),MIN($F7,EOMONTH(O$5,0)),Feriados))/NETWORKDAYS($E7,$F7,Feriados))</f>
        <v>0</v>
      </c>
      <c r="P7" s="52" t="n">
        <f aca="false">ROUND(SUM(H7:O7)-G7,2)</f>
        <v>0</v>
      </c>
    </row>
    <row r="8" customFormat="false" ht="15" hidden="false" customHeight="false" outlineLevel="0" collapsed="false">
      <c r="A8" s="49" t="str">
        <f aca="false">Cronograma!A8</f>
        <v>1.2</v>
      </c>
      <c r="B8" s="49" t="str">
        <f aca="false">Cronograma!B8</f>
        <v>Declaración del alcance y EDT</v>
      </c>
      <c r="C8" s="5" t="s">
        <v>87</v>
      </c>
      <c r="D8" s="33" t="s">
        <v>237</v>
      </c>
      <c r="E8" s="45" t="n">
        <f aca="false">Cronograma!G8</f>
        <v>46300</v>
      </c>
      <c r="F8" s="45" t="n">
        <f aca="false">Cronograma!H8</f>
        <v>46304</v>
      </c>
      <c r="G8" s="50" t="n">
        <v>5400</v>
      </c>
      <c r="H8" s="51" t="n">
        <f aca="false">IF(NETWORKDAYS($E8,$F8,Feriados)&lt;=0,0,$G8*MAX(0,NETWORKDAYS(MAX($E8,H$5),MIN($F8,EOMONTH(H$5,0)),Feriados))/NETWORKDAYS($E8,$F8,Feriados))</f>
        <v>5400</v>
      </c>
      <c r="I8" s="51" t="n">
        <f aca="false">IF(NETWORKDAYS($E8,$F8,Feriados)&lt;=0,0,$G8*MAX(0,NETWORKDAYS(MAX($E8,I$5),MIN($F8,EOMONTH(I$5,0)),Feriados))/NETWORKDAYS($E8,$F8,Feriados))</f>
        <v>0</v>
      </c>
      <c r="J8" s="51" t="n">
        <f aca="false">IF(NETWORKDAYS($E8,$F8,Feriados)&lt;=0,0,$G8*MAX(0,NETWORKDAYS(MAX($E8,J$5),MIN($F8,EOMONTH(J$5,0)),Feriados))/NETWORKDAYS($E8,$F8,Feriados))</f>
        <v>0</v>
      </c>
      <c r="K8" s="51" t="n">
        <f aca="false">IF(NETWORKDAYS($E8,$F8,Feriados)&lt;=0,0,$G8*MAX(0,NETWORKDAYS(MAX($E8,K$5),MIN($F8,EOMONTH(K$5,0)),Feriados))/NETWORKDAYS($E8,$F8,Feriados))</f>
        <v>0</v>
      </c>
      <c r="L8" s="51" t="n">
        <f aca="false">IF(NETWORKDAYS($E8,$F8,Feriados)&lt;=0,0,$G8*MAX(0,NETWORKDAYS(MAX($E8,L$5),MIN($F8,EOMONTH(L$5,0)),Feriados))/NETWORKDAYS($E8,$F8,Feriados))</f>
        <v>0</v>
      </c>
      <c r="M8" s="51" t="n">
        <f aca="false">IF(NETWORKDAYS($E8,$F8,Feriados)&lt;=0,0,$G8*MAX(0,NETWORKDAYS(MAX($E8,M$5),MIN($F8,EOMONTH(M$5,0)),Feriados))/NETWORKDAYS($E8,$F8,Feriados))</f>
        <v>0</v>
      </c>
      <c r="N8" s="51" t="n">
        <f aca="false">IF(NETWORKDAYS($E8,$F8,Feriados)&lt;=0,0,$G8*MAX(0,NETWORKDAYS(MAX($E8,N$5),MIN($F8,EOMONTH(N$5,0)),Feriados))/NETWORKDAYS($E8,$F8,Feriados))</f>
        <v>0</v>
      </c>
      <c r="O8" s="51" t="n">
        <f aca="false">IF(NETWORKDAYS($E8,$F8,Feriados)&lt;=0,0,$G8*MAX(0,NETWORKDAYS(MAX($E8,O$5),MIN($F8,EOMONTH(O$5,0)),Feriados))/NETWORKDAYS($E8,$F8,Feriados))</f>
        <v>0</v>
      </c>
      <c r="P8" s="52" t="n">
        <f aca="false">ROUND(SUM(H8:O8)-G8,2)</f>
        <v>0</v>
      </c>
    </row>
    <row r="9" customFormat="false" ht="15" hidden="false" customHeight="false" outlineLevel="0" collapsed="false">
      <c r="A9" s="49" t="str">
        <f aca="false">Cronograma!A9</f>
        <v>1.3</v>
      </c>
      <c r="B9" s="49" t="str">
        <f aca="false">Cronograma!B9</f>
        <v>Cronograma, presupuesto y línea base</v>
      </c>
      <c r="C9" s="5" t="s">
        <v>87</v>
      </c>
      <c r="D9" s="33" t="s">
        <v>237</v>
      </c>
      <c r="E9" s="45" t="n">
        <f aca="false">Cronograma!G9</f>
        <v>46300</v>
      </c>
      <c r="F9" s="45" t="n">
        <f aca="false">Cronograma!H9</f>
        <v>46304</v>
      </c>
      <c r="G9" s="50" t="n">
        <v>5400</v>
      </c>
      <c r="H9" s="51" t="n">
        <f aca="false">IF(NETWORKDAYS($E9,$F9,Feriados)&lt;=0,0,$G9*MAX(0,NETWORKDAYS(MAX($E9,H$5),MIN($F9,EOMONTH(H$5,0)),Feriados))/NETWORKDAYS($E9,$F9,Feriados))</f>
        <v>5400</v>
      </c>
      <c r="I9" s="51" t="n">
        <f aca="false">IF(NETWORKDAYS($E9,$F9,Feriados)&lt;=0,0,$G9*MAX(0,NETWORKDAYS(MAX($E9,I$5),MIN($F9,EOMONTH(I$5,0)),Feriados))/NETWORKDAYS($E9,$F9,Feriados))</f>
        <v>0</v>
      </c>
      <c r="J9" s="51" t="n">
        <f aca="false">IF(NETWORKDAYS($E9,$F9,Feriados)&lt;=0,0,$G9*MAX(0,NETWORKDAYS(MAX($E9,J$5),MIN($F9,EOMONTH(J$5,0)),Feriados))/NETWORKDAYS($E9,$F9,Feriados))</f>
        <v>0</v>
      </c>
      <c r="K9" s="51" t="n">
        <f aca="false">IF(NETWORKDAYS($E9,$F9,Feriados)&lt;=0,0,$G9*MAX(0,NETWORKDAYS(MAX($E9,K$5),MIN($F9,EOMONTH(K$5,0)),Feriados))/NETWORKDAYS($E9,$F9,Feriados))</f>
        <v>0</v>
      </c>
      <c r="L9" s="51" t="n">
        <f aca="false">IF(NETWORKDAYS($E9,$F9,Feriados)&lt;=0,0,$G9*MAX(0,NETWORKDAYS(MAX($E9,L$5),MIN($F9,EOMONTH(L$5,0)),Feriados))/NETWORKDAYS($E9,$F9,Feriados))</f>
        <v>0</v>
      </c>
      <c r="M9" s="51" t="n">
        <f aca="false">IF(NETWORKDAYS($E9,$F9,Feriados)&lt;=0,0,$G9*MAX(0,NETWORKDAYS(MAX($E9,M$5),MIN($F9,EOMONTH(M$5,0)),Feriados))/NETWORKDAYS($E9,$F9,Feriados))</f>
        <v>0</v>
      </c>
      <c r="N9" s="51" t="n">
        <f aca="false">IF(NETWORKDAYS($E9,$F9,Feriados)&lt;=0,0,$G9*MAX(0,NETWORKDAYS(MAX($E9,N$5),MIN($F9,EOMONTH(N$5,0)),Feriados))/NETWORKDAYS($E9,$F9,Feriados))</f>
        <v>0</v>
      </c>
      <c r="O9" s="51" t="n">
        <f aca="false">IF(NETWORKDAYS($E9,$F9,Feriados)&lt;=0,0,$G9*MAX(0,NETWORKDAYS(MAX($E9,O$5),MIN($F9,EOMONTH(O$5,0)),Feriados))/NETWORKDAYS($E9,$F9,Feriados))</f>
        <v>0</v>
      </c>
      <c r="P9" s="52" t="n">
        <f aca="false">ROUND(SUM(H9:O9)-G9,2)</f>
        <v>0</v>
      </c>
    </row>
    <row r="10" customFormat="false" ht="15" hidden="false" customHeight="false" outlineLevel="0" collapsed="false">
      <c r="A10" s="49" t="str">
        <f aca="false">Cronograma!A10</f>
        <v>1.4</v>
      </c>
      <c r="B10" s="49" t="str">
        <f aca="false">Cronograma!B10</f>
        <v>Registro de riesgos e interesados</v>
      </c>
      <c r="C10" s="5" t="s">
        <v>87</v>
      </c>
      <c r="D10" s="33" t="s">
        <v>237</v>
      </c>
      <c r="E10" s="45" t="n">
        <f aca="false">Cronograma!G10</f>
        <v>46300</v>
      </c>
      <c r="F10" s="45" t="n">
        <f aca="false">Cronograma!H10</f>
        <v>46304</v>
      </c>
      <c r="G10" s="50" t="n">
        <v>4500</v>
      </c>
      <c r="H10" s="51" t="n">
        <f aca="false">IF(NETWORKDAYS($E10,$F10,Feriados)&lt;=0,0,$G10*MAX(0,NETWORKDAYS(MAX($E10,H$5),MIN($F10,EOMONTH(H$5,0)),Feriados))/NETWORKDAYS($E10,$F10,Feriados))</f>
        <v>4500</v>
      </c>
      <c r="I10" s="51" t="n">
        <f aca="false">IF(NETWORKDAYS($E10,$F10,Feriados)&lt;=0,0,$G10*MAX(0,NETWORKDAYS(MAX($E10,I$5),MIN($F10,EOMONTH(I$5,0)),Feriados))/NETWORKDAYS($E10,$F10,Feriados))</f>
        <v>0</v>
      </c>
      <c r="J10" s="51" t="n">
        <f aca="false">IF(NETWORKDAYS($E10,$F10,Feriados)&lt;=0,0,$G10*MAX(0,NETWORKDAYS(MAX($E10,J$5),MIN($F10,EOMONTH(J$5,0)),Feriados))/NETWORKDAYS($E10,$F10,Feriados))</f>
        <v>0</v>
      </c>
      <c r="K10" s="51" t="n">
        <f aca="false">IF(NETWORKDAYS($E10,$F10,Feriados)&lt;=0,0,$G10*MAX(0,NETWORKDAYS(MAX($E10,K$5),MIN($F10,EOMONTH(K$5,0)),Feriados))/NETWORKDAYS($E10,$F10,Feriados))</f>
        <v>0</v>
      </c>
      <c r="L10" s="51" t="n">
        <f aca="false">IF(NETWORKDAYS($E10,$F10,Feriados)&lt;=0,0,$G10*MAX(0,NETWORKDAYS(MAX($E10,L$5),MIN($F10,EOMONTH(L$5,0)),Feriados))/NETWORKDAYS($E10,$F10,Feriados))</f>
        <v>0</v>
      </c>
      <c r="M10" s="51" t="n">
        <f aca="false">IF(NETWORKDAYS($E10,$F10,Feriados)&lt;=0,0,$G10*MAX(0,NETWORKDAYS(MAX($E10,M$5),MIN($F10,EOMONTH(M$5,0)),Feriados))/NETWORKDAYS($E10,$F10,Feriados))</f>
        <v>0</v>
      </c>
      <c r="N10" s="51" t="n">
        <f aca="false">IF(NETWORKDAYS($E10,$F10,Feriados)&lt;=0,0,$G10*MAX(0,NETWORKDAYS(MAX($E10,N$5),MIN($F10,EOMONTH(N$5,0)),Feriados))/NETWORKDAYS($E10,$F10,Feriados))</f>
        <v>0</v>
      </c>
      <c r="O10" s="51" t="n">
        <f aca="false">IF(NETWORKDAYS($E10,$F10,Feriados)&lt;=0,0,$G10*MAX(0,NETWORKDAYS(MAX($E10,O$5),MIN($F10,EOMONTH(O$5,0)),Feriados))/NETWORKDAYS($E10,$F10,Feriados))</f>
        <v>0</v>
      </c>
      <c r="P10" s="52" t="n">
        <f aca="false">ROUND(SUM(H10:O10)-G10,2)</f>
        <v>0</v>
      </c>
    </row>
    <row r="11" customFormat="false" ht="15" hidden="false" customHeight="false" outlineLevel="0" collapsed="false">
      <c r="A11" s="49" t="str">
        <f aca="false">Cronograma!A11</f>
        <v>1.6</v>
      </c>
      <c r="B11" s="49" t="str">
        <f aca="false">Cronograma!B11</f>
        <v>Cierre y lecciones aprendidas</v>
      </c>
      <c r="C11" s="5" t="s">
        <v>87</v>
      </c>
      <c r="D11" s="33" t="s">
        <v>237</v>
      </c>
      <c r="E11" s="45" t="n">
        <f aca="false">Cronograma!G11</f>
        <v>46503</v>
      </c>
      <c r="F11" s="45" t="n">
        <f aca="false">Cronograma!H11</f>
        <v>46507</v>
      </c>
      <c r="G11" s="50" t="n">
        <v>4500</v>
      </c>
      <c r="H11" s="51" t="n">
        <f aca="false">IF(NETWORKDAYS($E11,$F11,Feriados)&lt;=0,0,$G11*MAX(0,NETWORKDAYS(MAX($E11,H$5),MIN($F11,EOMONTH(H$5,0)),Feriados))/NETWORKDAYS($E11,$F11,Feriados))</f>
        <v>0</v>
      </c>
      <c r="I11" s="51" t="n">
        <f aca="false">IF(NETWORKDAYS($E11,$F11,Feriados)&lt;=0,0,$G11*MAX(0,NETWORKDAYS(MAX($E11,I$5),MIN($F11,EOMONTH(I$5,0)),Feriados))/NETWORKDAYS($E11,$F11,Feriados))</f>
        <v>0</v>
      </c>
      <c r="J11" s="51" t="n">
        <f aca="false">IF(NETWORKDAYS($E11,$F11,Feriados)&lt;=0,0,$G11*MAX(0,NETWORKDAYS(MAX($E11,J$5),MIN($F11,EOMONTH(J$5,0)),Feriados))/NETWORKDAYS($E11,$F11,Feriados))</f>
        <v>0</v>
      </c>
      <c r="K11" s="51" t="n">
        <f aca="false">IF(NETWORKDAYS($E11,$F11,Feriados)&lt;=0,0,$G11*MAX(0,NETWORKDAYS(MAX($E11,K$5),MIN($F11,EOMONTH(K$5,0)),Feriados))/NETWORKDAYS($E11,$F11,Feriados))</f>
        <v>0</v>
      </c>
      <c r="L11" s="51" t="n">
        <f aca="false">IF(NETWORKDAYS($E11,$F11,Feriados)&lt;=0,0,$G11*MAX(0,NETWORKDAYS(MAX($E11,L$5),MIN($F11,EOMONTH(L$5,0)),Feriados))/NETWORKDAYS($E11,$F11,Feriados))</f>
        <v>0</v>
      </c>
      <c r="M11" s="51" t="n">
        <f aca="false">IF(NETWORKDAYS($E11,$F11,Feriados)&lt;=0,0,$G11*MAX(0,NETWORKDAYS(MAX($E11,M$5),MIN($F11,EOMONTH(M$5,0)),Feriados))/NETWORKDAYS($E11,$F11,Feriados))</f>
        <v>0</v>
      </c>
      <c r="N11" s="51" t="n">
        <f aca="false">IF(NETWORKDAYS($E11,$F11,Feriados)&lt;=0,0,$G11*MAX(0,NETWORKDAYS(MAX($E11,N$5),MIN($F11,EOMONTH(N$5,0)),Feriados))/NETWORKDAYS($E11,$F11,Feriados))</f>
        <v>4500</v>
      </c>
      <c r="O11" s="51" t="n">
        <f aca="false">IF(NETWORKDAYS($E11,$F11,Feriados)&lt;=0,0,$G11*MAX(0,NETWORKDAYS(MAX($E11,O$5),MIN($F11,EOMONTH(O$5,0)),Feriados))/NETWORKDAYS($E11,$F11,Feriados))</f>
        <v>0</v>
      </c>
      <c r="P11" s="52" t="n">
        <f aca="false">ROUND(SUM(H11:O11)-G11,2)</f>
        <v>0</v>
      </c>
    </row>
    <row r="12" customFormat="false" ht="15" hidden="false" customHeight="false" outlineLevel="0" collapsed="false">
      <c r="A12" s="49" t="str">
        <f aca="false">Cronograma!A12</f>
        <v>2.1</v>
      </c>
      <c r="B12" s="49" t="str">
        <f aca="false">Cronograma!B12</f>
        <v>Relevamiento y reglas de negocio</v>
      </c>
      <c r="C12" s="5" t="s">
        <v>87</v>
      </c>
      <c r="D12" s="33" t="s">
        <v>237</v>
      </c>
      <c r="E12" s="45" t="n">
        <f aca="false">Cronograma!G12</f>
        <v>46308</v>
      </c>
      <c r="F12" s="45" t="n">
        <f aca="false">Cronograma!H12</f>
        <v>46321</v>
      </c>
      <c r="G12" s="50" t="n">
        <v>7500</v>
      </c>
      <c r="H12" s="51" t="n">
        <f aca="false">IF(NETWORKDAYS($E12,$F12,Feriados)&lt;=0,0,$G12*MAX(0,NETWORKDAYS(MAX($E12,H$5),MIN($F12,EOMONTH(H$5,0)),Feriados))/NETWORKDAYS($E12,$F12,Feriados))</f>
        <v>7500</v>
      </c>
      <c r="I12" s="51" t="n">
        <f aca="false">IF(NETWORKDAYS($E12,$F12,Feriados)&lt;=0,0,$G12*MAX(0,NETWORKDAYS(MAX($E12,I$5),MIN($F12,EOMONTH(I$5,0)),Feriados))/NETWORKDAYS($E12,$F12,Feriados))</f>
        <v>0</v>
      </c>
      <c r="J12" s="51" t="n">
        <f aca="false">IF(NETWORKDAYS($E12,$F12,Feriados)&lt;=0,0,$G12*MAX(0,NETWORKDAYS(MAX($E12,J$5),MIN($F12,EOMONTH(J$5,0)),Feriados))/NETWORKDAYS($E12,$F12,Feriados))</f>
        <v>0</v>
      </c>
      <c r="K12" s="51" t="n">
        <f aca="false">IF(NETWORKDAYS($E12,$F12,Feriados)&lt;=0,0,$G12*MAX(0,NETWORKDAYS(MAX($E12,K$5),MIN($F12,EOMONTH(K$5,0)),Feriados))/NETWORKDAYS($E12,$F12,Feriados))</f>
        <v>0</v>
      </c>
      <c r="L12" s="51" t="n">
        <f aca="false">IF(NETWORKDAYS($E12,$F12,Feriados)&lt;=0,0,$G12*MAX(0,NETWORKDAYS(MAX($E12,L$5),MIN($F12,EOMONTH(L$5,0)),Feriados))/NETWORKDAYS($E12,$F12,Feriados))</f>
        <v>0</v>
      </c>
      <c r="M12" s="51" t="n">
        <f aca="false">IF(NETWORKDAYS($E12,$F12,Feriados)&lt;=0,0,$G12*MAX(0,NETWORKDAYS(MAX($E12,M$5),MIN($F12,EOMONTH(M$5,0)),Feriados))/NETWORKDAYS($E12,$F12,Feriados))</f>
        <v>0</v>
      </c>
      <c r="N12" s="51" t="n">
        <f aca="false">IF(NETWORKDAYS($E12,$F12,Feriados)&lt;=0,0,$G12*MAX(0,NETWORKDAYS(MAX($E12,N$5),MIN($F12,EOMONTH(N$5,0)),Feriados))/NETWORKDAYS($E12,$F12,Feriados))</f>
        <v>0</v>
      </c>
      <c r="O12" s="51" t="n">
        <f aca="false">IF(NETWORKDAYS($E12,$F12,Feriados)&lt;=0,0,$G12*MAX(0,NETWORKDAYS(MAX($E12,O$5),MIN($F12,EOMONTH(O$5,0)),Feriados))/NETWORKDAYS($E12,$F12,Feriados))</f>
        <v>0</v>
      </c>
      <c r="P12" s="52" t="n">
        <f aca="false">ROUND(SUM(H12:O12)-G12,2)</f>
        <v>0</v>
      </c>
    </row>
    <row r="13" customFormat="false" ht="15" hidden="false" customHeight="false" outlineLevel="0" collapsed="false">
      <c r="A13" s="49" t="str">
        <f aca="false">Cronograma!A13</f>
        <v>2.2</v>
      </c>
      <c r="B13" s="49" t="str">
        <f aca="false">Cronograma!B13</f>
        <v>Planos e inventario de espacios</v>
      </c>
      <c r="C13" s="5" t="s">
        <v>87</v>
      </c>
      <c r="D13" s="33" t="s">
        <v>237</v>
      </c>
      <c r="E13" s="45" t="n">
        <f aca="false">Cronograma!G13</f>
        <v>46322</v>
      </c>
      <c r="F13" s="45" t="n">
        <f aca="false">Cronograma!H13</f>
        <v>46342</v>
      </c>
      <c r="G13" s="50" t="n">
        <v>6750</v>
      </c>
      <c r="H13" s="51" t="n">
        <f aca="false">IF(NETWORKDAYS($E13,$F13,Feriados)&lt;=0,0,$G13*MAX(0,NETWORKDAYS(MAX($E13,H$5),MIN($F13,EOMONTH(H$5,0)),Feriados))/NETWORKDAYS($E13,$F13,Feriados))</f>
        <v>1800</v>
      </c>
      <c r="I13" s="51" t="n">
        <f aca="false">IF(NETWORKDAYS($E13,$F13,Feriados)&lt;=0,0,$G13*MAX(0,NETWORKDAYS(MAX($E13,I$5),MIN($F13,EOMONTH(I$5,0)),Feriados))/NETWORKDAYS($E13,$F13,Feriados))</f>
        <v>4950</v>
      </c>
      <c r="J13" s="51" t="n">
        <f aca="false">IF(NETWORKDAYS($E13,$F13,Feriados)&lt;=0,0,$G13*MAX(0,NETWORKDAYS(MAX($E13,J$5),MIN($F13,EOMONTH(J$5,0)),Feriados))/NETWORKDAYS($E13,$F13,Feriados))</f>
        <v>0</v>
      </c>
      <c r="K13" s="51" t="n">
        <f aca="false">IF(NETWORKDAYS($E13,$F13,Feriados)&lt;=0,0,$G13*MAX(0,NETWORKDAYS(MAX($E13,K$5),MIN($F13,EOMONTH(K$5,0)),Feriados))/NETWORKDAYS($E13,$F13,Feriados))</f>
        <v>0</v>
      </c>
      <c r="L13" s="51" t="n">
        <f aca="false">IF(NETWORKDAYS($E13,$F13,Feriados)&lt;=0,0,$G13*MAX(0,NETWORKDAYS(MAX($E13,L$5),MIN($F13,EOMONTH(L$5,0)),Feriados))/NETWORKDAYS($E13,$F13,Feriados))</f>
        <v>0</v>
      </c>
      <c r="M13" s="51" t="n">
        <f aca="false">IF(NETWORKDAYS($E13,$F13,Feriados)&lt;=0,0,$G13*MAX(0,NETWORKDAYS(MAX($E13,M$5),MIN($F13,EOMONTH(M$5,0)),Feriados))/NETWORKDAYS($E13,$F13,Feriados))</f>
        <v>0</v>
      </c>
      <c r="N13" s="51" t="n">
        <f aca="false">IF(NETWORKDAYS($E13,$F13,Feriados)&lt;=0,0,$G13*MAX(0,NETWORKDAYS(MAX($E13,N$5),MIN($F13,EOMONTH(N$5,0)),Feriados))/NETWORKDAYS($E13,$F13,Feriados))</f>
        <v>0</v>
      </c>
      <c r="O13" s="51" t="n">
        <f aca="false">IF(NETWORKDAYS($E13,$F13,Feriados)&lt;=0,0,$G13*MAX(0,NETWORKDAYS(MAX($E13,O$5),MIN($F13,EOMONTH(O$5,0)),Feriados))/NETWORKDAYS($E13,$F13,Feriados))</f>
        <v>0</v>
      </c>
      <c r="P13" s="52" t="n">
        <f aca="false">ROUND(SUM(H13:O13)-G13,2)</f>
        <v>0</v>
      </c>
    </row>
    <row r="14" customFormat="false" ht="15" hidden="false" customHeight="false" outlineLevel="0" collapsed="false">
      <c r="A14" s="49" t="str">
        <f aca="false">Cronograma!A14</f>
        <v>2.3</v>
      </c>
      <c r="B14" s="49" t="str">
        <f aca="false">Cronograma!B14</f>
        <v>Módulo de reserva de escritorios</v>
      </c>
      <c r="C14" s="5" t="s">
        <v>87</v>
      </c>
      <c r="D14" s="33" t="s">
        <v>237</v>
      </c>
      <c r="E14" s="45" t="n">
        <f aca="false">Cronograma!G14</f>
        <v>46322</v>
      </c>
      <c r="F14" s="45" t="n">
        <f aca="false">Cronograma!H14</f>
        <v>46343</v>
      </c>
      <c r="G14" s="50" t="n">
        <v>13500</v>
      </c>
      <c r="H14" s="51" t="n">
        <f aca="false">IF(NETWORKDAYS($E14,$F14,Feriados)&lt;=0,0,$G14*MAX(0,NETWORKDAYS(MAX($E14,H$5),MIN($F14,EOMONTH(H$5,0)),Feriados))/NETWORKDAYS($E14,$F14,Feriados))</f>
        <v>3375</v>
      </c>
      <c r="I14" s="51" t="n">
        <f aca="false">IF(NETWORKDAYS($E14,$F14,Feriados)&lt;=0,0,$G14*MAX(0,NETWORKDAYS(MAX($E14,I$5),MIN($F14,EOMONTH(I$5,0)),Feriados))/NETWORKDAYS($E14,$F14,Feriados))</f>
        <v>10125</v>
      </c>
      <c r="J14" s="51" t="n">
        <f aca="false">IF(NETWORKDAYS($E14,$F14,Feriados)&lt;=0,0,$G14*MAX(0,NETWORKDAYS(MAX($E14,J$5),MIN($F14,EOMONTH(J$5,0)),Feriados))/NETWORKDAYS($E14,$F14,Feriados))</f>
        <v>0</v>
      </c>
      <c r="K14" s="51" t="n">
        <f aca="false">IF(NETWORKDAYS($E14,$F14,Feriados)&lt;=0,0,$G14*MAX(0,NETWORKDAYS(MAX($E14,K$5),MIN($F14,EOMONTH(K$5,0)),Feriados))/NETWORKDAYS($E14,$F14,Feriados))</f>
        <v>0</v>
      </c>
      <c r="L14" s="51" t="n">
        <f aca="false">IF(NETWORKDAYS($E14,$F14,Feriados)&lt;=0,0,$G14*MAX(0,NETWORKDAYS(MAX($E14,L$5),MIN($F14,EOMONTH(L$5,0)),Feriados))/NETWORKDAYS($E14,$F14,Feriados))</f>
        <v>0</v>
      </c>
      <c r="M14" s="51" t="n">
        <f aca="false">IF(NETWORKDAYS($E14,$F14,Feriados)&lt;=0,0,$G14*MAX(0,NETWORKDAYS(MAX($E14,M$5),MIN($F14,EOMONTH(M$5,0)),Feriados))/NETWORKDAYS($E14,$F14,Feriados))</f>
        <v>0</v>
      </c>
      <c r="N14" s="51" t="n">
        <f aca="false">IF(NETWORKDAYS($E14,$F14,Feriados)&lt;=0,0,$G14*MAX(0,NETWORKDAYS(MAX($E14,N$5),MIN($F14,EOMONTH(N$5,0)),Feriados))/NETWORKDAYS($E14,$F14,Feriados))</f>
        <v>0</v>
      </c>
      <c r="O14" s="51" t="n">
        <f aca="false">IF(NETWORKDAYS($E14,$F14,Feriados)&lt;=0,0,$G14*MAX(0,NETWORKDAYS(MAX($E14,O$5),MIN($F14,EOMONTH(O$5,0)),Feriados))/NETWORKDAYS($E14,$F14,Feriados))</f>
        <v>0</v>
      </c>
      <c r="P14" s="52" t="n">
        <f aca="false">ROUND(SUM(H14:O14)-G14,2)</f>
        <v>0</v>
      </c>
    </row>
    <row r="15" customFormat="false" ht="15" hidden="false" customHeight="false" outlineLevel="0" collapsed="false">
      <c r="A15" s="49" t="str">
        <f aca="false">Cronograma!A15</f>
        <v>2.4</v>
      </c>
      <c r="B15" s="49" t="str">
        <f aca="false">Cronograma!B15</f>
        <v>Módulo de reserva de salas</v>
      </c>
      <c r="C15" s="5" t="s">
        <v>87</v>
      </c>
      <c r="D15" s="33" t="s">
        <v>237</v>
      </c>
      <c r="E15" s="45" t="n">
        <f aca="false">Cronograma!G15</f>
        <v>46322</v>
      </c>
      <c r="F15" s="45" t="n">
        <f aca="false">Cronograma!H15</f>
        <v>46342</v>
      </c>
      <c r="G15" s="50" t="n">
        <v>11250</v>
      </c>
      <c r="H15" s="51" t="n">
        <f aca="false">IF(NETWORKDAYS($E15,$F15,Feriados)&lt;=0,0,$G15*MAX(0,NETWORKDAYS(MAX($E15,H$5),MIN($F15,EOMONTH(H$5,0)),Feriados))/NETWORKDAYS($E15,$F15,Feriados))</f>
        <v>3000</v>
      </c>
      <c r="I15" s="51" t="n">
        <f aca="false">IF(NETWORKDAYS($E15,$F15,Feriados)&lt;=0,0,$G15*MAX(0,NETWORKDAYS(MAX($E15,I$5),MIN($F15,EOMONTH(I$5,0)),Feriados))/NETWORKDAYS($E15,$F15,Feriados))</f>
        <v>8250</v>
      </c>
      <c r="J15" s="51" t="n">
        <f aca="false">IF(NETWORKDAYS($E15,$F15,Feriados)&lt;=0,0,$G15*MAX(0,NETWORKDAYS(MAX($E15,J$5),MIN($F15,EOMONTH(J$5,0)),Feriados))/NETWORKDAYS($E15,$F15,Feriados))</f>
        <v>0</v>
      </c>
      <c r="K15" s="51" t="n">
        <f aca="false">IF(NETWORKDAYS($E15,$F15,Feriados)&lt;=0,0,$G15*MAX(0,NETWORKDAYS(MAX($E15,K$5),MIN($F15,EOMONTH(K$5,0)),Feriados))/NETWORKDAYS($E15,$F15,Feriados))</f>
        <v>0</v>
      </c>
      <c r="L15" s="51" t="n">
        <f aca="false">IF(NETWORKDAYS($E15,$F15,Feriados)&lt;=0,0,$G15*MAX(0,NETWORKDAYS(MAX($E15,L$5),MIN($F15,EOMONTH(L$5,0)),Feriados))/NETWORKDAYS($E15,$F15,Feriados))</f>
        <v>0</v>
      </c>
      <c r="M15" s="51" t="n">
        <f aca="false">IF(NETWORKDAYS($E15,$F15,Feriados)&lt;=0,0,$G15*MAX(0,NETWORKDAYS(MAX($E15,M$5),MIN($F15,EOMONTH(M$5,0)),Feriados))/NETWORKDAYS($E15,$F15,Feriados))</f>
        <v>0</v>
      </c>
      <c r="N15" s="51" t="n">
        <f aca="false">IF(NETWORKDAYS($E15,$F15,Feriados)&lt;=0,0,$G15*MAX(0,NETWORKDAYS(MAX($E15,N$5),MIN($F15,EOMONTH(N$5,0)),Feriados))/NETWORKDAYS($E15,$F15,Feriados))</f>
        <v>0</v>
      </c>
      <c r="O15" s="51" t="n">
        <f aca="false">IF(NETWORKDAYS($E15,$F15,Feriados)&lt;=0,0,$G15*MAX(0,NETWORKDAYS(MAX($E15,O$5),MIN($F15,EOMONTH(O$5,0)),Feriados))/NETWORKDAYS($E15,$F15,Feriados))</f>
        <v>0</v>
      </c>
      <c r="P15" s="52" t="n">
        <f aca="false">ROUND(SUM(H15:O15)-G15,2)</f>
        <v>0</v>
      </c>
    </row>
    <row r="16" customFormat="false" ht="15" hidden="false" customHeight="false" outlineLevel="0" collapsed="false">
      <c r="A16" s="49" t="str">
        <f aca="false">Cronograma!A16</f>
        <v>2.5</v>
      </c>
      <c r="B16" s="49" t="str">
        <f aca="false">Cronograma!B16</f>
        <v>Check-in, check-out y liberación</v>
      </c>
      <c r="C16" s="5" t="s">
        <v>87</v>
      </c>
      <c r="D16" s="33" t="s">
        <v>237</v>
      </c>
      <c r="E16" s="45" t="n">
        <f aca="false">Cronograma!G16</f>
        <v>46344</v>
      </c>
      <c r="F16" s="45" t="n">
        <f aca="false">Cronograma!H16</f>
        <v>46360</v>
      </c>
      <c r="G16" s="50" t="n">
        <v>9000</v>
      </c>
      <c r="H16" s="51" t="n">
        <f aca="false">IF(NETWORKDAYS($E16,$F16,Feriados)&lt;=0,0,$G16*MAX(0,NETWORKDAYS(MAX($E16,H$5),MIN($F16,EOMONTH(H$5,0)),Feriados))/NETWORKDAYS($E16,$F16,Feriados))</f>
        <v>0</v>
      </c>
      <c r="I16" s="51" t="n">
        <f aca="false">IF(NETWORKDAYS($E16,$F16,Feriados)&lt;=0,0,$G16*MAX(0,NETWORKDAYS(MAX($E16,I$5),MIN($F16,EOMONTH(I$5,0)),Feriados))/NETWORKDAYS($E16,$F16,Feriados))</f>
        <v>6000</v>
      </c>
      <c r="J16" s="51" t="n">
        <f aca="false">IF(NETWORKDAYS($E16,$F16,Feriados)&lt;=0,0,$G16*MAX(0,NETWORKDAYS(MAX($E16,J$5),MIN($F16,EOMONTH(J$5,0)),Feriados))/NETWORKDAYS($E16,$F16,Feriados))</f>
        <v>3000</v>
      </c>
      <c r="K16" s="51" t="n">
        <f aca="false">IF(NETWORKDAYS($E16,$F16,Feriados)&lt;=0,0,$G16*MAX(0,NETWORKDAYS(MAX($E16,K$5),MIN($F16,EOMONTH(K$5,0)),Feriados))/NETWORKDAYS($E16,$F16,Feriados))</f>
        <v>0</v>
      </c>
      <c r="L16" s="51" t="n">
        <f aca="false">IF(NETWORKDAYS($E16,$F16,Feriados)&lt;=0,0,$G16*MAX(0,NETWORKDAYS(MAX($E16,L$5),MIN($F16,EOMONTH(L$5,0)),Feriados))/NETWORKDAYS($E16,$F16,Feriados))</f>
        <v>0</v>
      </c>
      <c r="M16" s="51" t="n">
        <f aca="false">IF(NETWORKDAYS($E16,$F16,Feriados)&lt;=0,0,$G16*MAX(0,NETWORKDAYS(MAX($E16,M$5),MIN($F16,EOMONTH(M$5,0)),Feriados))/NETWORKDAYS($E16,$F16,Feriados))</f>
        <v>0</v>
      </c>
      <c r="N16" s="51" t="n">
        <f aca="false">IF(NETWORKDAYS($E16,$F16,Feriados)&lt;=0,0,$G16*MAX(0,NETWORKDAYS(MAX($E16,N$5),MIN($F16,EOMONTH(N$5,0)),Feriados))/NETWORKDAYS($E16,$F16,Feriados))</f>
        <v>0</v>
      </c>
      <c r="O16" s="51" t="n">
        <f aca="false">IF(NETWORKDAYS($E16,$F16,Feriados)&lt;=0,0,$G16*MAX(0,NETWORKDAYS(MAX($E16,O$5),MIN($F16,EOMONTH(O$5,0)),Feriados))/NETWORKDAYS($E16,$F16,Feriados))</f>
        <v>0</v>
      </c>
      <c r="P16" s="52" t="n">
        <f aca="false">ROUND(SUM(H16:O16)-G16,2)</f>
        <v>0</v>
      </c>
    </row>
    <row r="17" customFormat="false" ht="15" hidden="false" customHeight="false" outlineLevel="0" collapsed="false">
      <c r="A17" s="49" t="str">
        <f aca="false">Cronograma!A17</f>
        <v>2.6</v>
      </c>
      <c r="B17" s="49" t="str">
        <f aca="false">Cronograma!B17</f>
        <v>Notificaciones y sugerencias</v>
      </c>
      <c r="C17" s="5" t="s">
        <v>87</v>
      </c>
      <c r="D17" s="33" t="s">
        <v>237</v>
      </c>
      <c r="E17" s="45" t="n">
        <f aca="false">Cronograma!G17</f>
        <v>46365</v>
      </c>
      <c r="F17" s="45" t="n">
        <f aca="false">Cronograma!H17</f>
        <v>46386</v>
      </c>
      <c r="G17" s="50" t="n">
        <v>11250</v>
      </c>
      <c r="H17" s="51" t="n">
        <f aca="false">IF(NETWORKDAYS($E17,$F17,Feriados)&lt;=0,0,$G17*MAX(0,NETWORKDAYS(MAX($E17,H$5),MIN($F17,EOMONTH(H$5,0)),Feriados))/NETWORKDAYS($E17,$F17,Feriados))</f>
        <v>0</v>
      </c>
      <c r="I17" s="51" t="n">
        <f aca="false">IF(NETWORKDAYS($E17,$F17,Feriados)&lt;=0,0,$G17*MAX(0,NETWORKDAYS(MAX($E17,I$5),MIN($F17,EOMONTH(I$5,0)),Feriados))/NETWORKDAYS($E17,$F17,Feriados))</f>
        <v>0</v>
      </c>
      <c r="J17" s="51" t="n">
        <f aca="false">IF(NETWORKDAYS($E17,$F17,Feriados)&lt;=0,0,$G17*MAX(0,NETWORKDAYS(MAX($E17,J$5),MIN($F17,EOMONTH(J$5,0)),Feriados))/NETWORKDAYS($E17,$F17,Feriados))</f>
        <v>11250</v>
      </c>
      <c r="K17" s="51" t="n">
        <f aca="false">IF(NETWORKDAYS($E17,$F17,Feriados)&lt;=0,0,$G17*MAX(0,NETWORKDAYS(MAX($E17,K$5),MIN($F17,EOMONTH(K$5,0)),Feriados))/NETWORKDAYS($E17,$F17,Feriados))</f>
        <v>0</v>
      </c>
      <c r="L17" s="51" t="n">
        <f aca="false">IF(NETWORKDAYS($E17,$F17,Feriados)&lt;=0,0,$G17*MAX(0,NETWORKDAYS(MAX($E17,L$5),MIN($F17,EOMONTH(L$5,0)),Feriados))/NETWORKDAYS($E17,$F17,Feriados))</f>
        <v>0</v>
      </c>
      <c r="M17" s="51" t="n">
        <f aca="false">IF(NETWORKDAYS($E17,$F17,Feriados)&lt;=0,0,$G17*MAX(0,NETWORKDAYS(MAX($E17,M$5),MIN($F17,EOMONTH(M$5,0)),Feriados))/NETWORKDAYS($E17,$F17,Feriados))</f>
        <v>0</v>
      </c>
      <c r="N17" s="51" t="n">
        <f aca="false">IF(NETWORKDAYS($E17,$F17,Feriados)&lt;=0,0,$G17*MAX(0,NETWORKDAYS(MAX($E17,N$5),MIN($F17,EOMONTH(N$5,0)),Feriados))/NETWORKDAYS($E17,$F17,Feriados))</f>
        <v>0</v>
      </c>
      <c r="O17" s="51" t="n">
        <f aca="false">IF(NETWORKDAYS($E17,$F17,Feriados)&lt;=0,0,$G17*MAX(0,NETWORKDAYS(MAX($E17,O$5),MIN($F17,EOMONTH(O$5,0)),Feriados))/NETWORKDAYS($E17,$F17,Feriados))</f>
        <v>0</v>
      </c>
      <c r="P17" s="52" t="n">
        <f aca="false">ROUND(SUM(H17:O17)-G17,2)</f>
        <v>0</v>
      </c>
    </row>
    <row r="18" customFormat="false" ht="15" hidden="false" customHeight="false" outlineLevel="0" collapsed="false">
      <c r="A18" s="49" t="str">
        <f aca="false">Cronograma!A18</f>
        <v>2.7</v>
      </c>
      <c r="B18" s="49" t="str">
        <f aca="false">Cronograma!B18</f>
        <v>Diseño UX</v>
      </c>
      <c r="C18" s="5" t="s">
        <v>87</v>
      </c>
      <c r="D18" s="33" t="s">
        <v>237</v>
      </c>
      <c r="E18" s="45" t="n">
        <f aca="false">Cronograma!G18</f>
        <v>46322</v>
      </c>
      <c r="F18" s="45" t="n">
        <f aca="false">Cronograma!H18</f>
        <v>46342</v>
      </c>
      <c r="G18" s="50" t="n">
        <v>10500</v>
      </c>
      <c r="H18" s="51" t="n">
        <f aca="false">IF(NETWORKDAYS($E18,$F18,Feriados)&lt;=0,0,$G18*MAX(0,NETWORKDAYS(MAX($E18,H$5),MIN($F18,EOMONTH(H$5,0)),Feriados))/NETWORKDAYS($E18,$F18,Feriados))</f>
        <v>2800</v>
      </c>
      <c r="I18" s="51" t="n">
        <f aca="false">IF(NETWORKDAYS($E18,$F18,Feriados)&lt;=0,0,$G18*MAX(0,NETWORKDAYS(MAX($E18,I$5),MIN($F18,EOMONTH(I$5,0)),Feriados))/NETWORKDAYS($E18,$F18,Feriados))</f>
        <v>7700</v>
      </c>
      <c r="J18" s="51" t="n">
        <f aca="false">IF(NETWORKDAYS($E18,$F18,Feriados)&lt;=0,0,$G18*MAX(0,NETWORKDAYS(MAX($E18,J$5),MIN($F18,EOMONTH(J$5,0)),Feriados))/NETWORKDAYS($E18,$F18,Feriados))</f>
        <v>0</v>
      </c>
      <c r="K18" s="51" t="n">
        <f aca="false">IF(NETWORKDAYS($E18,$F18,Feriados)&lt;=0,0,$G18*MAX(0,NETWORKDAYS(MAX($E18,K$5),MIN($F18,EOMONTH(K$5,0)),Feriados))/NETWORKDAYS($E18,$F18,Feriados))</f>
        <v>0</v>
      </c>
      <c r="L18" s="51" t="n">
        <f aca="false">IF(NETWORKDAYS($E18,$F18,Feriados)&lt;=0,0,$G18*MAX(0,NETWORKDAYS(MAX($E18,L$5),MIN($F18,EOMONTH(L$5,0)),Feriados))/NETWORKDAYS($E18,$F18,Feriados))</f>
        <v>0</v>
      </c>
      <c r="M18" s="51" t="n">
        <f aca="false">IF(NETWORKDAYS($E18,$F18,Feriados)&lt;=0,0,$G18*MAX(0,NETWORKDAYS(MAX($E18,M$5),MIN($F18,EOMONTH(M$5,0)),Feriados))/NETWORKDAYS($E18,$F18,Feriados))</f>
        <v>0</v>
      </c>
      <c r="N18" s="51" t="n">
        <f aca="false">IF(NETWORKDAYS($E18,$F18,Feriados)&lt;=0,0,$G18*MAX(0,NETWORKDAYS(MAX($E18,N$5),MIN($F18,EOMONTH(N$5,0)),Feriados))/NETWORKDAYS($E18,$F18,Feriados))</f>
        <v>0</v>
      </c>
      <c r="O18" s="51" t="n">
        <f aca="false">IF(NETWORKDAYS($E18,$F18,Feriados)&lt;=0,0,$G18*MAX(0,NETWORKDAYS(MAX($E18,O$5),MIN($F18,EOMONTH(O$5,0)),Feriados))/NETWORKDAYS($E18,$F18,Feriados))</f>
        <v>0</v>
      </c>
      <c r="P18" s="52" t="n">
        <f aca="false">ROUND(SUM(H18:O18)-G18,2)</f>
        <v>0</v>
      </c>
    </row>
    <row r="19" customFormat="false" ht="15" hidden="false" customHeight="false" outlineLevel="0" collapsed="false">
      <c r="A19" s="49" t="str">
        <f aca="false">Cronograma!A19</f>
        <v>2.8</v>
      </c>
      <c r="B19" s="49" t="str">
        <f aca="false">Cronograma!B19</f>
        <v>Implementación bot de Teams</v>
      </c>
      <c r="C19" s="5" t="s">
        <v>87</v>
      </c>
      <c r="D19" s="33" t="s">
        <v>237</v>
      </c>
      <c r="E19" s="45" t="n">
        <f aca="false">Cronograma!G19</f>
        <v>46343</v>
      </c>
      <c r="F19" s="45" t="n">
        <f aca="false">Cronograma!H19</f>
        <v>46357</v>
      </c>
      <c r="G19" s="50" t="n">
        <v>7500</v>
      </c>
      <c r="H19" s="51" t="n">
        <f aca="false">IF(NETWORKDAYS($E19,$F19,Feriados)&lt;=0,0,$G19*MAX(0,NETWORKDAYS(MAX($E19,H$5),MIN($F19,EOMONTH(H$5,0)),Feriados))/NETWORKDAYS($E19,$F19,Feriados))</f>
        <v>0</v>
      </c>
      <c r="I19" s="51" t="n">
        <f aca="false">IF(NETWORKDAYS($E19,$F19,Feriados)&lt;=0,0,$G19*MAX(0,NETWORKDAYS(MAX($E19,I$5),MIN($F19,EOMONTH(I$5,0)),Feriados))/NETWORKDAYS($E19,$F19,Feriados))</f>
        <v>6750</v>
      </c>
      <c r="J19" s="51" t="n">
        <f aca="false">IF(NETWORKDAYS($E19,$F19,Feriados)&lt;=0,0,$G19*MAX(0,NETWORKDAYS(MAX($E19,J$5),MIN($F19,EOMONTH(J$5,0)),Feriados))/NETWORKDAYS($E19,$F19,Feriados))</f>
        <v>750</v>
      </c>
      <c r="K19" s="51" t="n">
        <f aca="false">IF(NETWORKDAYS($E19,$F19,Feriados)&lt;=0,0,$G19*MAX(0,NETWORKDAYS(MAX($E19,K$5),MIN($F19,EOMONTH(K$5,0)),Feriados))/NETWORKDAYS($E19,$F19,Feriados))</f>
        <v>0</v>
      </c>
      <c r="L19" s="51" t="n">
        <f aca="false">IF(NETWORKDAYS($E19,$F19,Feriados)&lt;=0,0,$G19*MAX(0,NETWORKDAYS(MAX($E19,L$5),MIN($F19,EOMONTH(L$5,0)),Feriados))/NETWORKDAYS($E19,$F19,Feriados))</f>
        <v>0</v>
      </c>
      <c r="M19" s="51" t="n">
        <f aca="false">IF(NETWORKDAYS($E19,$F19,Feriados)&lt;=0,0,$G19*MAX(0,NETWORKDAYS(MAX($E19,M$5),MIN($F19,EOMONTH(M$5,0)),Feriados))/NETWORKDAYS($E19,$F19,Feriados))</f>
        <v>0</v>
      </c>
      <c r="N19" s="51" t="n">
        <f aca="false">IF(NETWORKDAYS($E19,$F19,Feriados)&lt;=0,0,$G19*MAX(0,NETWORKDAYS(MAX($E19,N$5),MIN($F19,EOMONTH(N$5,0)),Feriados))/NETWORKDAYS($E19,$F19,Feriados))</f>
        <v>0</v>
      </c>
      <c r="O19" s="51" t="n">
        <f aca="false">IF(NETWORKDAYS($E19,$F19,Feriados)&lt;=0,0,$G19*MAX(0,NETWORKDAYS(MAX($E19,O$5),MIN($F19,EOMONTH(O$5,0)),Feriados))/NETWORKDAYS($E19,$F19,Feriados))</f>
        <v>0</v>
      </c>
      <c r="P19" s="52" t="n">
        <f aca="false">ROUND(SUM(H19:O19)-G19,2)</f>
        <v>0</v>
      </c>
    </row>
    <row r="20" customFormat="false" ht="15" hidden="false" customHeight="false" outlineLevel="0" collapsed="false">
      <c r="A20" s="49" t="str">
        <f aca="false">Cronograma!A20</f>
        <v>2.9</v>
      </c>
      <c r="B20" s="49" t="str">
        <f aca="false">Cronograma!B20</f>
        <v>Configuración web</v>
      </c>
      <c r="C20" s="5" t="s">
        <v>87</v>
      </c>
      <c r="D20" s="33" t="s">
        <v>237</v>
      </c>
      <c r="E20" s="45" t="n">
        <f aca="false">Cronograma!G20</f>
        <v>46387</v>
      </c>
      <c r="F20" s="45" t="n">
        <f aca="false">Cronograma!H20</f>
        <v>46405</v>
      </c>
      <c r="G20" s="50" t="n">
        <v>9000</v>
      </c>
      <c r="H20" s="51" t="n">
        <f aca="false">IF(NETWORKDAYS($E20,$F20,Feriados)&lt;=0,0,$G20*MAX(0,NETWORKDAYS(MAX($E20,H$5),MIN($F20,EOMONTH(H$5,0)),Feriados))/NETWORKDAYS($E20,$F20,Feriados))</f>
        <v>0</v>
      </c>
      <c r="I20" s="51" t="n">
        <f aca="false">IF(NETWORKDAYS($E20,$F20,Feriados)&lt;=0,0,$G20*MAX(0,NETWORKDAYS(MAX($E20,I$5),MIN($F20,EOMONTH(I$5,0)),Feriados))/NETWORKDAYS($E20,$F20,Feriados))</f>
        <v>0</v>
      </c>
      <c r="J20" s="51" t="n">
        <f aca="false">IF(NETWORKDAYS($E20,$F20,Feriados)&lt;=0,0,$G20*MAX(0,NETWORKDAYS(MAX($E20,J$5),MIN($F20,EOMONTH(J$5,0)),Feriados))/NETWORKDAYS($E20,$F20,Feriados))</f>
        <v>750</v>
      </c>
      <c r="K20" s="51" t="n">
        <f aca="false">IF(NETWORKDAYS($E20,$F20,Feriados)&lt;=0,0,$G20*MAX(0,NETWORKDAYS(MAX($E20,K$5),MIN($F20,EOMONTH(K$5,0)),Feriados))/NETWORKDAYS($E20,$F20,Feriados))</f>
        <v>8250</v>
      </c>
      <c r="L20" s="51" t="n">
        <f aca="false">IF(NETWORKDAYS($E20,$F20,Feriados)&lt;=0,0,$G20*MAX(0,NETWORKDAYS(MAX($E20,L$5),MIN($F20,EOMONTH(L$5,0)),Feriados))/NETWORKDAYS($E20,$F20,Feriados))</f>
        <v>0</v>
      </c>
      <c r="M20" s="51" t="n">
        <f aca="false">IF(NETWORKDAYS($E20,$F20,Feriados)&lt;=0,0,$G20*MAX(0,NETWORKDAYS(MAX($E20,M$5),MIN($F20,EOMONTH(M$5,0)),Feriados))/NETWORKDAYS($E20,$F20,Feriados))</f>
        <v>0</v>
      </c>
      <c r="N20" s="51" t="n">
        <f aca="false">IF(NETWORKDAYS($E20,$F20,Feriados)&lt;=0,0,$G20*MAX(0,NETWORKDAYS(MAX($E20,N$5),MIN($F20,EOMONTH(N$5,0)),Feriados))/NETWORKDAYS($E20,$F20,Feriados))</f>
        <v>0</v>
      </c>
      <c r="O20" s="51" t="n">
        <f aca="false">IF(NETWORKDAYS($E20,$F20,Feriados)&lt;=0,0,$G20*MAX(0,NETWORKDAYS(MAX($E20,O$5),MIN($F20,EOMONTH(O$5,0)),Feriados))/NETWORKDAYS($E20,$F20,Feriados))</f>
        <v>0</v>
      </c>
      <c r="P20" s="52" t="n">
        <f aca="false">ROUND(SUM(H20:O20)-G20,2)</f>
        <v>0</v>
      </c>
    </row>
    <row r="21" customFormat="false" ht="15" hidden="false" customHeight="false" outlineLevel="0" collapsed="false">
      <c r="A21" s="49" t="str">
        <f aca="false">Cronograma!A21</f>
        <v>3.1</v>
      </c>
      <c r="B21" s="49" t="str">
        <f aca="false">Cronograma!B21</f>
        <v>SSO y SCIM con Entra ID</v>
      </c>
      <c r="C21" s="5" t="s">
        <v>87</v>
      </c>
      <c r="D21" s="33" t="s">
        <v>238</v>
      </c>
      <c r="E21" s="45" t="n">
        <f aca="false">Cronograma!G21</f>
        <v>46308</v>
      </c>
      <c r="F21" s="45" t="n">
        <f aca="false">Cronograma!H21</f>
        <v>46323</v>
      </c>
      <c r="G21" s="50" t="n">
        <v>9000</v>
      </c>
      <c r="H21" s="51" t="n">
        <f aca="false">IF(NETWORKDAYS($E21,$F21,Feriados)&lt;=0,0,$G21*MAX(0,NETWORKDAYS(MAX($E21,H$5),MIN($F21,EOMONTH(H$5,0)),Feriados))/NETWORKDAYS($E21,$F21,Feriados))</f>
        <v>9000</v>
      </c>
      <c r="I21" s="51" t="n">
        <f aca="false">IF(NETWORKDAYS($E21,$F21,Feriados)&lt;=0,0,$G21*MAX(0,NETWORKDAYS(MAX($E21,I$5),MIN($F21,EOMONTH(I$5,0)),Feriados))/NETWORKDAYS($E21,$F21,Feriados))</f>
        <v>0</v>
      </c>
      <c r="J21" s="51" t="n">
        <f aca="false">IF(NETWORKDAYS($E21,$F21,Feriados)&lt;=0,0,$G21*MAX(0,NETWORKDAYS(MAX($E21,J$5),MIN($F21,EOMONTH(J$5,0)),Feriados))/NETWORKDAYS($E21,$F21,Feriados))</f>
        <v>0</v>
      </c>
      <c r="K21" s="51" t="n">
        <f aca="false">IF(NETWORKDAYS($E21,$F21,Feriados)&lt;=0,0,$G21*MAX(0,NETWORKDAYS(MAX($E21,K$5),MIN($F21,EOMONTH(K$5,0)),Feriados))/NETWORKDAYS($E21,$F21,Feriados))</f>
        <v>0</v>
      </c>
      <c r="L21" s="51" t="n">
        <f aca="false">IF(NETWORKDAYS($E21,$F21,Feriados)&lt;=0,0,$G21*MAX(0,NETWORKDAYS(MAX($E21,L$5),MIN($F21,EOMONTH(L$5,0)),Feriados))/NETWORKDAYS($E21,$F21,Feriados))</f>
        <v>0</v>
      </c>
      <c r="M21" s="51" t="n">
        <f aca="false">IF(NETWORKDAYS($E21,$F21,Feriados)&lt;=0,0,$G21*MAX(0,NETWORKDAYS(MAX($E21,M$5),MIN($F21,EOMONTH(M$5,0)),Feriados))/NETWORKDAYS($E21,$F21,Feriados))</f>
        <v>0</v>
      </c>
      <c r="N21" s="51" t="n">
        <f aca="false">IF(NETWORKDAYS($E21,$F21,Feriados)&lt;=0,0,$G21*MAX(0,NETWORKDAYS(MAX($E21,N$5),MIN($F21,EOMONTH(N$5,0)),Feriados))/NETWORKDAYS($E21,$F21,Feriados))</f>
        <v>0</v>
      </c>
      <c r="O21" s="51" t="n">
        <f aca="false">IF(NETWORKDAYS($E21,$F21,Feriados)&lt;=0,0,$G21*MAX(0,NETWORKDAYS(MAX($E21,O$5),MIN($F21,EOMONTH(O$5,0)),Feriados))/NETWORKDAYS($E21,$F21,Feriados))</f>
        <v>0</v>
      </c>
      <c r="P21" s="52" t="n">
        <f aca="false">ROUND(SUM(H21:O21)-G21,2)</f>
        <v>0</v>
      </c>
    </row>
    <row r="22" customFormat="false" ht="15" hidden="false" customHeight="false" outlineLevel="0" collapsed="false">
      <c r="A22" s="49" t="str">
        <f aca="false">Cronograma!A22</f>
        <v>3.2</v>
      </c>
      <c r="B22" s="49" t="str">
        <f aca="false">Cronograma!B22</f>
        <v>Sincronización con HRIS</v>
      </c>
      <c r="C22" s="5" t="s">
        <v>87</v>
      </c>
      <c r="D22" s="33" t="s">
        <v>238</v>
      </c>
      <c r="E22" s="45" t="n">
        <f aca="false">Cronograma!G22</f>
        <v>46324</v>
      </c>
      <c r="F22" s="45" t="n">
        <f aca="false">Cronograma!H22</f>
        <v>46337</v>
      </c>
      <c r="G22" s="50" t="n">
        <v>7500</v>
      </c>
      <c r="H22" s="51" t="n">
        <f aca="false">IF(NETWORKDAYS($E22,$F22,Feriados)&lt;=0,0,$G22*MAX(0,NETWORKDAYS(MAX($E22,H$5),MIN($F22,EOMONTH(H$5,0)),Feriados))/NETWORKDAYS($E22,$F22,Feriados))</f>
        <v>1500</v>
      </c>
      <c r="I22" s="51" t="n">
        <f aca="false">IF(NETWORKDAYS($E22,$F22,Feriados)&lt;=0,0,$G22*MAX(0,NETWORKDAYS(MAX($E22,I$5),MIN($F22,EOMONTH(I$5,0)),Feriados))/NETWORKDAYS($E22,$F22,Feriados))</f>
        <v>6000</v>
      </c>
      <c r="J22" s="51" t="n">
        <f aca="false">IF(NETWORKDAYS($E22,$F22,Feriados)&lt;=0,0,$G22*MAX(0,NETWORKDAYS(MAX($E22,J$5),MIN($F22,EOMONTH(J$5,0)),Feriados))/NETWORKDAYS($E22,$F22,Feriados))</f>
        <v>0</v>
      </c>
      <c r="K22" s="51" t="n">
        <f aca="false">IF(NETWORKDAYS($E22,$F22,Feriados)&lt;=0,0,$G22*MAX(0,NETWORKDAYS(MAX($E22,K$5),MIN($F22,EOMONTH(K$5,0)),Feriados))/NETWORKDAYS($E22,$F22,Feriados))</f>
        <v>0</v>
      </c>
      <c r="L22" s="51" t="n">
        <f aca="false">IF(NETWORKDAYS($E22,$F22,Feriados)&lt;=0,0,$G22*MAX(0,NETWORKDAYS(MAX($E22,L$5),MIN($F22,EOMONTH(L$5,0)),Feriados))/NETWORKDAYS($E22,$F22,Feriados))</f>
        <v>0</v>
      </c>
      <c r="M22" s="51" t="n">
        <f aca="false">IF(NETWORKDAYS($E22,$F22,Feriados)&lt;=0,0,$G22*MAX(0,NETWORKDAYS(MAX($E22,M$5),MIN($F22,EOMONTH(M$5,0)),Feriados))/NETWORKDAYS($E22,$F22,Feriados))</f>
        <v>0</v>
      </c>
      <c r="N22" s="51" t="n">
        <f aca="false">IF(NETWORKDAYS($E22,$F22,Feriados)&lt;=0,0,$G22*MAX(0,NETWORKDAYS(MAX($E22,N$5),MIN($F22,EOMONTH(N$5,0)),Feriados))/NETWORKDAYS($E22,$F22,Feriados))</f>
        <v>0</v>
      </c>
      <c r="O22" s="51" t="n">
        <f aca="false">IF(NETWORKDAYS($E22,$F22,Feriados)&lt;=0,0,$G22*MAX(0,NETWORKDAYS(MAX($E22,O$5),MIN($F22,EOMONTH(O$5,0)),Feriados))/NETWORKDAYS($E22,$F22,Feriados))</f>
        <v>0</v>
      </c>
      <c r="P22" s="52" t="n">
        <f aca="false">ROUND(SUM(H22:O22)-G22,2)</f>
        <v>0</v>
      </c>
    </row>
    <row r="23" customFormat="false" ht="15" hidden="false" customHeight="false" outlineLevel="0" collapsed="false">
      <c r="A23" s="49" t="str">
        <f aca="false">Cronograma!A23</f>
        <v>3.3</v>
      </c>
      <c r="B23" s="49" t="str">
        <f aca="false">Cronograma!B23</f>
        <v>Exchange, Outlook y Teams</v>
      </c>
      <c r="C23" s="5" t="s">
        <v>87</v>
      </c>
      <c r="D23" s="33" t="s">
        <v>238</v>
      </c>
      <c r="E23" s="45" t="n">
        <f aca="false">Cronograma!G23</f>
        <v>46324</v>
      </c>
      <c r="F23" s="45" t="n">
        <f aca="false">Cronograma!H23</f>
        <v>46337</v>
      </c>
      <c r="G23" s="50" t="n">
        <v>7500</v>
      </c>
      <c r="H23" s="51" t="n">
        <f aca="false">IF(NETWORKDAYS($E23,$F23,Feriados)&lt;=0,0,$G23*MAX(0,NETWORKDAYS(MAX($E23,H$5),MIN($F23,EOMONTH(H$5,0)),Feriados))/NETWORKDAYS($E23,$F23,Feriados))</f>
        <v>1500</v>
      </c>
      <c r="I23" s="51" t="n">
        <f aca="false">IF(NETWORKDAYS($E23,$F23,Feriados)&lt;=0,0,$G23*MAX(0,NETWORKDAYS(MAX($E23,I$5),MIN($F23,EOMONTH(I$5,0)),Feriados))/NETWORKDAYS($E23,$F23,Feriados))</f>
        <v>6000</v>
      </c>
      <c r="J23" s="51" t="n">
        <f aca="false">IF(NETWORKDAYS($E23,$F23,Feriados)&lt;=0,0,$G23*MAX(0,NETWORKDAYS(MAX($E23,J$5),MIN($F23,EOMONTH(J$5,0)),Feriados))/NETWORKDAYS($E23,$F23,Feriados))</f>
        <v>0</v>
      </c>
      <c r="K23" s="51" t="n">
        <f aca="false">IF(NETWORKDAYS($E23,$F23,Feriados)&lt;=0,0,$G23*MAX(0,NETWORKDAYS(MAX($E23,K$5),MIN($F23,EOMONTH(K$5,0)),Feriados))/NETWORKDAYS($E23,$F23,Feriados))</f>
        <v>0</v>
      </c>
      <c r="L23" s="51" t="n">
        <f aca="false">IF(NETWORKDAYS($E23,$F23,Feriados)&lt;=0,0,$G23*MAX(0,NETWORKDAYS(MAX($E23,L$5),MIN($F23,EOMONTH(L$5,0)),Feriados))/NETWORKDAYS($E23,$F23,Feriados))</f>
        <v>0</v>
      </c>
      <c r="M23" s="51" t="n">
        <f aca="false">IF(NETWORKDAYS($E23,$F23,Feriados)&lt;=0,0,$G23*MAX(0,NETWORKDAYS(MAX($E23,M$5),MIN($F23,EOMONTH(M$5,0)),Feriados))/NETWORKDAYS($E23,$F23,Feriados))</f>
        <v>0</v>
      </c>
      <c r="N23" s="51" t="n">
        <f aca="false">IF(NETWORKDAYS($E23,$F23,Feriados)&lt;=0,0,$G23*MAX(0,NETWORKDAYS(MAX($E23,N$5),MIN($F23,EOMONTH(N$5,0)),Feriados))/NETWORKDAYS($E23,$F23,Feriados))</f>
        <v>0</v>
      </c>
      <c r="O23" s="51" t="n">
        <f aca="false">IF(NETWORKDAYS($E23,$F23,Feriados)&lt;=0,0,$G23*MAX(0,NETWORKDAYS(MAX($E23,O$5),MIN($F23,EOMONTH(O$5,0)),Feriados))/NETWORKDAYS($E23,$F23,Feriados))</f>
        <v>0</v>
      </c>
      <c r="P23" s="52" t="n">
        <f aca="false">ROUND(SUM(H23:O23)-G23,2)</f>
        <v>0</v>
      </c>
    </row>
    <row r="24" customFormat="false" ht="15" hidden="false" customHeight="false" outlineLevel="0" collapsed="false">
      <c r="A24" s="49" t="str">
        <f aca="false">Cronograma!A24</f>
        <v>3.4</v>
      </c>
      <c r="B24" s="49" t="str">
        <f aca="false">Cronograma!B24</f>
        <v>Seguridad y endurecimiento</v>
      </c>
      <c r="C24" s="5" t="s">
        <v>87</v>
      </c>
      <c r="D24" s="33" t="s">
        <v>238</v>
      </c>
      <c r="E24" s="45" t="n">
        <f aca="false">Cronograma!G24</f>
        <v>46338</v>
      </c>
      <c r="F24" s="45" t="n">
        <f aca="false">Cronograma!H24</f>
        <v>46359</v>
      </c>
      <c r="G24" s="50" t="n">
        <v>9750</v>
      </c>
      <c r="H24" s="51" t="n">
        <f aca="false">IF(NETWORKDAYS($E24,$F24,Feriados)&lt;=0,0,$G24*MAX(0,NETWORKDAYS(MAX($E24,H$5),MIN($F24,EOMONTH(H$5,0)),Feriados))/NETWORKDAYS($E24,$F24,Feriados))</f>
        <v>0</v>
      </c>
      <c r="I24" s="51" t="n">
        <f aca="false">IF(NETWORKDAYS($E24,$F24,Feriados)&lt;=0,0,$G24*MAX(0,NETWORKDAYS(MAX($E24,I$5),MIN($F24,EOMONTH(I$5,0)),Feriados))/NETWORKDAYS($E24,$F24,Feriados))</f>
        <v>7800</v>
      </c>
      <c r="J24" s="51" t="n">
        <f aca="false">IF(NETWORKDAYS($E24,$F24,Feriados)&lt;=0,0,$G24*MAX(0,NETWORKDAYS(MAX($E24,J$5),MIN($F24,EOMONTH(J$5,0)),Feriados))/NETWORKDAYS($E24,$F24,Feriados))</f>
        <v>1950</v>
      </c>
      <c r="K24" s="51" t="n">
        <f aca="false">IF(NETWORKDAYS($E24,$F24,Feriados)&lt;=0,0,$G24*MAX(0,NETWORKDAYS(MAX($E24,K$5),MIN($F24,EOMONTH(K$5,0)),Feriados))/NETWORKDAYS($E24,$F24,Feriados))</f>
        <v>0</v>
      </c>
      <c r="L24" s="51" t="n">
        <f aca="false">IF(NETWORKDAYS($E24,$F24,Feriados)&lt;=0,0,$G24*MAX(0,NETWORKDAYS(MAX($E24,L$5),MIN($F24,EOMONTH(L$5,0)),Feriados))/NETWORKDAYS($E24,$F24,Feriados))</f>
        <v>0</v>
      </c>
      <c r="M24" s="51" t="n">
        <f aca="false">IF(NETWORKDAYS($E24,$F24,Feriados)&lt;=0,0,$G24*MAX(0,NETWORKDAYS(MAX($E24,M$5),MIN($F24,EOMONTH(M$5,0)),Feriados))/NETWORKDAYS($E24,$F24,Feriados))</f>
        <v>0</v>
      </c>
      <c r="N24" s="51" t="n">
        <f aca="false">IF(NETWORKDAYS($E24,$F24,Feriados)&lt;=0,0,$G24*MAX(0,NETWORKDAYS(MAX($E24,N$5),MIN($F24,EOMONTH(N$5,0)),Feriados))/NETWORKDAYS($E24,$F24,Feriados))</f>
        <v>0</v>
      </c>
      <c r="O24" s="51" t="n">
        <f aca="false">IF(NETWORKDAYS($E24,$F24,Feriados)&lt;=0,0,$G24*MAX(0,NETWORKDAYS(MAX($E24,O$5),MIN($F24,EOMONTH(O$5,0)),Feriados))/NETWORKDAYS($E24,$F24,Feriados))</f>
        <v>0</v>
      </c>
      <c r="P24" s="52" t="n">
        <f aca="false">ROUND(SUM(H24:O24)-G24,2)</f>
        <v>0</v>
      </c>
    </row>
    <row r="25" customFormat="false" ht="15" hidden="false" customHeight="false" outlineLevel="0" collapsed="false">
      <c r="A25" s="49" t="str">
        <f aca="false">Cronograma!A25</f>
        <v>3.5</v>
      </c>
      <c r="B25" s="49" t="str">
        <f aca="false">Cronograma!B25</f>
        <v>Pruebas de integración y carga</v>
      </c>
      <c r="C25" s="5" t="s">
        <v>87</v>
      </c>
      <c r="D25" s="33" t="s">
        <v>238</v>
      </c>
      <c r="E25" s="45" t="n">
        <f aca="false">Cronograma!G25</f>
        <v>46379</v>
      </c>
      <c r="F25" s="45" t="n">
        <f aca="false">Cronograma!H25</f>
        <v>46398</v>
      </c>
      <c r="G25" s="50" t="n">
        <v>7800</v>
      </c>
      <c r="H25" s="51" t="n">
        <f aca="false">IF(NETWORKDAYS($E25,$F25,Feriados)&lt;=0,0,$G25*MAX(0,NETWORKDAYS(MAX($E25,H$5),MIN($F25,EOMONTH(H$5,0)),Feriados))/NETWORKDAYS($E25,$F25,Feriados))</f>
        <v>0</v>
      </c>
      <c r="I25" s="51" t="n">
        <f aca="false">IF(NETWORKDAYS($E25,$F25,Feriados)&lt;=0,0,$G25*MAX(0,NETWORKDAYS(MAX($E25,I$5),MIN($F25,EOMONTH(I$5,0)),Feriados))/NETWORKDAYS($E25,$F25,Feriados))</f>
        <v>0</v>
      </c>
      <c r="J25" s="51" t="n">
        <f aca="false">IF(NETWORKDAYS($E25,$F25,Feriados)&lt;=0,0,$G25*MAX(0,NETWORKDAYS(MAX($E25,J$5),MIN($F25,EOMONTH(J$5,0)),Feriados))/NETWORKDAYS($E25,$F25,Feriados))</f>
        <v>3900</v>
      </c>
      <c r="K25" s="51" t="n">
        <f aca="false">IF(NETWORKDAYS($E25,$F25,Feriados)&lt;=0,0,$G25*MAX(0,NETWORKDAYS(MAX($E25,K$5),MIN($F25,EOMONTH(K$5,0)),Feriados))/NETWORKDAYS($E25,$F25,Feriados))</f>
        <v>3900</v>
      </c>
      <c r="L25" s="51" t="n">
        <f aca="false">IF(NETWORKDAYS($E25,$F25,Feriados)&lt;=0,0,$G25*MAX(0,NETWORKDAYS(MAX($E25,L$5),MIN($F25,EOMONTH(L$5,0)),Feriados))/NETWORKDAYS($E25,$F25,Feriados))</f>
        <v>0</v>
      </c>
      <c r="M25" s="51" t="n">
        <f aca="false">IF(NETWORKDAYS($E25,$F25,Feriados)&lt;=0,0,$G25*MAX(0,NETWORKDAYS(MAX($E25,M$5),MIN($F25,EOMONTH(M$5,0)),Feriados))/NETWORKDAYS($E25,$F25,Feriados))</f>
        <v>0</v>
      </c>
      <c r="N25" s="51" t="n">
        <f aca="false">IF(NETWORKDAYS($E25,$F25,Feriados)&lt;=0,0,$G25*MAX(0,NETWORKDAYS(MAX($E25,N$5),MIN($F25,EOMONTH(N$5,0)),Feriados))/NETWORKDAYS($E25,$F25,Feriados))</f>
        <v>0</v>
      </c>
      <c r="O25" s="51" t="n">
        <f aca="false">IF(NETWORKDAYS($E25,$F25,Feriados)&lt;=0,0,$G25*MAX(0,NETWORKDAYS(MAX($E25,O$5),MIN($F25,EOMONTH(O$5,0)),Feriados))/NETWORKDAYS($E25,$F25,Feriados))</f>
        <v>0</v>
      </c>
      <c r="P25" s="52" t="n">
        <f aca="false">ROUND(SUM(H25:O25)-G25,2)</f>
        <v>0</v>
      </c>
    </row>
    <row r="26" customFormat="false" ht="15" hidden="false" customHeight="false" outlineLevel="0" collapsed="false">
      <c r="A26" s="49" t="str">
        <f aca="false">Cronograma!A26</f>
        <v>4.1</v>
      </c>
      <c r="B26" s="49" t="str">
        <f aca="false">Cronograma!B26</f>
        <v>Impacto e interesados con RR.HH.</v>
      </c>
      <c r="C26" s="5" t="s">
        <v>87</v>
      </c>
      <c r="D26" s="33" t="s">
        <v>239</v>
      </c>
      <c r="E26" s="45" t="n">
        <f aca="false">Cronograma!G26</f>
        <v>46308</v>
      </c>
      <c r="F26" s="45" t="n">
        <f aca="false">Cronograma!H26</f>
        <v>46321</v>
      </c>
      <c r="G26" s="50" t="n">
        <v>4500</v>
      </c>
      <c r="H26" s="51" t="n">
        <f aca="false">IF(NETWORKDAYS($E26,$F26,Feriados)&lt;=0,0,$G26*MAX(0,NETWORKDAYS(MAX($E26,H$5),MIN($F26,EOMONTH(H$5,0)),Feriados))/NETWORKDAYS($E26,$F26,Feriados))</f>
        <v>4500</v>
      </c>
      <c r="I26" s="51" t="n">
        <f aca="false">IF(NETWORKDAYS($E26,$F26,Feriados)&lt;=0,0,$G26*MAX(0,NETWORKDAYS(MAX($E26,I$5),MIN($F26,EOMONTH(I$5,0)),Feriados))/NETWORKDAYS($E26,$F26,Feriados))</f>
        <v>0</v>
      </c>
      <c r="J26" s="51" t="n">
        <f aca="false">IF(NETWORKDAYS($E26,$F26,Feriados)&lt;=0,0,$G26*MAX(0,NETWORKDAYS(MAX($E26,J$5),MIN($F26,EOMONTH(J$5,0)),Feriados))/NETWORKDAYS($E26,$F26,Feriados))</f>
        <v>0</v>
      </c>
      <c r="K26" s="51" t="n">
        <f aca="false">IF(NETWORKDAYS($E26,$F26,Feriados)&lt;=0,0,$G26*MAX(0,NETWORKDAYS(MAX($E26,K$5),MIN($F26,EOMONTH(K$5,0)),Feriados))/NETWORKDAYS($E26,$F26,Feriados))</f>
        <v>0</v>
      </c>
      <c r="L26" s="51" t="n">
        <f aca="false">IF(NETWORKDAYS($E26,$F26,Feriados)&lt;=0,0,$G26*MAX(0,NETWORKDAYS(MAX($E26,L$5),MIN($F26,EOMONTH(L$5,0)),Feriados))/NETWORKDAYS($E26,$F26,Feriados))</f>
        <v>0</v>
      </c>
      <c r="M26" s="51" t="n">
        <f aca="false">IF(NETWORKDAYS($E26,$F26,Feriados)&lt;=0,0,$G26*MAX(0,NETWORKDAYS(MAX($E26,M$5),MIN($F26,EOMONTH(M$5,0)),Feriados))/NETWORKDAYS($E26,$F26,Feriados))</f>
        <v>0</v>
      </c>
      <c r="N26" s="51" t="n">
        <f aca="false">IF(NETWORKDAYS($E26,$F26,Feriados)&lt;=0,0,$G26*MAX(0,NETWORKDAYS(MAX($E26,N$5),MIN($F26,EOMONTH(N$5,0)),Feriados))/NETWORKDAYS($E26,$F26,Feriados))</f>
        <v>0</v>
      </c>
      <c r="O26" s="51" t="n">
        <f aca="false">IF(NETWORKDAYS($E26,$F26,Feriados)&lt;=0,0,$G26*MAX(0,NETWORKDAYS(MAX($E26,O$5),MIN($F26,EOMONTH(O$5,0)),Feriados))/NETWORKDAYS($E26,$F26,Feriados))</f>
        <v>0</v>
      </c>
      <c r="P26" s="52" t="n">
        <f aca="false">ROUND(SUM(H26:O26)-G26,2)</f>
        <v>0</v>
      </c>
    </row>
    <row r="27" customFormat="false" ht="15" hidden="false" customHeight="false" outlineLevel="0" collapsed="false">
      <c r="A27" s="49" t="str">
        <f aca="false">Cronograma!A27</f>
        <v>4.2</v>
      </c>
      <c r="B27" s="49" t="str">
        <f aca="false">Cronograma!B27</f>
        <v>Política de trabajo flexible</v>
      </c>
      <c r="C27" s="5" t="s">
        <v>87</v>
      </c>
      <c r="D27" s="33" t="s">
        <v>239</v>
      </c>
      <c r="E27" s="45" t="n">
        <f aca="false">Cronograma!G27</f>
        <v>46322</v>
      </c>
      <c r="F27" s="45" t="n">
        <f aca="false">Cronograma!H27</f>
        <v>46335</v>
      </c>
      <c r="G27" s="50" t="n">
        <v>4500</v>
      </c>
      <c r="H27" s="51" t="n">
        <f aca="false">IF(NETWORKDAYS($E27,$F27,Feriados)&lt;=0,0,$G27*MAX(0,NETWORKDAYS(MAX($E27,H$5),MIN($F27,EOMONTH(H$5,0)),Feriados))/NETWORKDAYS($E27,$F27,Feriados))</f>
        <v>1800</v>
      </c>
      <c r="I27" s="51" t="n">
        <f aca="false">IF(NETWORKDAYS($E27,$F27,Feriados)&lt;=0,0,$G27*MAX(0,NETWORKDAYS(MAX($E27,I$5),MIN($F27,EOMONTH(I$5,0)),Feriados))/NETWORKDAYS($E27,$F27,Feriados))</f>
        <v>2700</v>
      </c>
      <c r="J27" s="51" t="n">
        <f aca="false">IF(NETWORKDAYS($E27,$F27,Feriados)&lt;=0,0,$G27*MAX(0,NETWORKDAYS(MAX($E27,J$5),MIN($F27,EOMONTH(J$5,0)),Feriados))/NETWORKDAYS($E27,$F27,Feriados))</f>
        <v>0</v>
      </c>
      <c r="K27" s="51" t="n">
        <f aca="false">IF(NETWORKDAYS($E27,$F27,Feriados)&lt;=0,0,$G27*MAX(0,NETWORKDAYS(MAX($E27,K$5),MIN($F27,EOMONTH(K$5,0)),Feriados))/NETWORKDAYS($E27,$F27,Feriados))</f>
        <v>0</v>
      </c>
      <c r="L27" s="51" t="n">
        <f aca="false">IF(NETWORKDAYS($E27,$F27,Feriados)&lt;=0,0,$G27*MAX(0,NETWORKDAYS(MAX($E27,L$5),MIN($F27,EOMONTH(L$5,0)),Feriados))/NETWORKDAYS($E27,$F27,Feriados))</f>
        <v>0</v>
      </c>
      <c r="M27" s="51" t="n">
        <f aca="false">IF(NETWORKDAYS($E27,$F27,Feriados)&lt;=0,0,$G27*MAX(0,NETWORKDAYS(MAX($E27,M$5),MIN($F27,EOMONTH(M$5,0)),Feriados))/NETWORKDAYS($E27,$F27,Feriados))</f>
        <v>0</v>
      </c>
      <c r="N27" s="51" t="n">
        <f aca="false">IF(NETWORKDAYS($E27,$F27,Feriados)&lt;=0,0,$G27*MAX(0,NETWORKDAYS(MAX($E27,N$5),MIN($F27,EOMONTH(N$5,0)),Feriados))/NETWORKDAYS($E27,$F27,Feriados))</f>
        <v>0</v>
      </c>
      <c r="O27" s="51" t="n">
        <f aca="false">IF(NETWORKDAYS($E27,$F27,Feriados)&lt;=0,0,$G27*MAX(0,NETWORKDAYS(MAX($E27,O$5),MIN($F27,EOMONTH(O$5,0)),Feriados))/NETWORKDAYS($E27,$F27,Feriados))</f>
        <v>0</v>
      </c>
      <c r="P27" s="52" t="n">
        <f aca="false">ROUND(SUM(H27:O27)-G27,2)</f>
        <v>0</v>
      </c>
    </row>
    <row r="28" customFormat="false" ht="15" hidden="false" customHeight="false" outlineLevel="0" collapsed="false">
      <c r="A28" s="49" t="str">
        <f aca="false">Cronograma!A28</f>
        <v>4.3</v>
      </c>
      <c r="B28" s="49" t="str">
        <f aca="false">Cronograma!B28</f>
        <v>Comunicación y lanzamiento</v>
      </c>
      <c r="C28" s="5" t="s">
        <v>87</v>
      </c>
      <c r="D28" s="33" t="s">
        <v>239</v>
      </c>
      <c r="E28" s="45" t="n">
        <f aca="false">Cronograma!G28</f>
        <v>46447</v>
      </c>
      <c r="F28" s="45" t="n">
        <f aca="false">Cronograma!H28</f>
        <v>46465</v>
      </c>
      <c r="G28" s="50" t="n">
        <v>6750</v>
      </c>
      <c r="H28" s="51" t="n">
        <f aca="false">IF(NETWORKDAYS($E28,$F28,Feriados)&lt;=0,0,$G28*MAX(0,NETWORKDAYS(MAX($E28,H$5),MIN($F28,EOMONTH(H$5,0)),Feriados))/NETWORKDAYS($E28,$F28,Feriados))</f>
        <v>0</v>
      </c>
      <c r="I28" s="51" t="n">
        <f aca="false">IF(NETWORKDAYS($E28,$F28,Feriados)&lt;=0,0,$G28*MAX(0,NETWORKDAYS(MAX($E28,I$5),MIN($F28,EOMONTH(I$5,0)),Feriados))/NETWORKDAYS($E28,$F28,Feriados))</f>
        <v>0</v>
      </c>
      <c r="J28" s="51" t="n">
        <f aca="false">IF(NETWORKDAYS($E28,$F28,Feriados)&lt;=0,0,$G28*MAX(0,NETWORKDAYS(MAX($E28,J$5),MIN($F28,EOMONTH(J$5,0)),Feriados))/NETWORKDAYS($E28,$F28,Feriados))</f>
        <v>0</v>
      </c>
      <c r="K28" s="51" t="n">
        <f aca="false">IF(NETWORKDAYS($E28,$F28,Feriados)&lt;=0,0,$G28*MAX(0,NETWORKDAYS(MAX($E28,K$5),MIN($F28,EOMONTH(K$5,0)),Feriados))/NETWORKDAYS($E28,$F28,Feriados))</f>
        <v>0</v>
      </c>
      <c r="L28" s="51" t="n">
        <f aca="false">IF(NETWORKDAYS($E28,$F28,Feriados)&lt;=0,0,$G28*MAX(0,NETWORKDAYS(MAX($E28,L$5),MIN($F28,EOMONTH(L$5,0)),Feriados))/NETWORKDAYS($E28,$F28,Feriados))</f>
        <v>0</v>
      </c>
      <c r="M28" s="51" t="n">
        <f aca="false">IF(NETWORKDAYS($E28,$F28,Feriados)&lt;=0,0,$G28*MAX(0,NETWORKDAYS(MAX($E28,M$5),MIN($F28,EOMONTH(M$5,0)),Feriados))/NETWORKDAYS($E28,$F28,Feriados))</f>
        <v>6750</v>
      </c>
      <c r="N28" s="51" t="n">
        <f aca="false">IF(NETWORKDAYS($E28,$F28,Feriados)&lt;=0,0,$G28*MAX(0,NETWORKDAYS(MAX($E28,N$5),MIN($F28,EOMONTH(N$5,0)),Feriados))/NETWORKDAYS($E28,$F28,Feriados))</f>
        <v>0</v>
      </c>
      <c r="O28" s="51" t="n">
        <f aca="false">IF(NETWORKDAYS($E28,$F28,Feriados)&lt;=0,0,$G28*MAX(0,NETWORKDAYS(MAX($E28,O$5),MIN($F28,EOMONTH(O$5,0)),Feriados))/NETWORKDAYS($E28,$F28,Feriados))</f>
        <v>0</v>
      </c>
      <c r="P28" s="52" t="n">
        <f aca="false">ROUND(SUM(H28:O28)-G28,2)</f>
        <v>0</v>
      </c>
    </row>
    <row r="29" customFormat="false" ht="15" hidden="false" customHeight="false" outlineLevel="0" collapsed="false">
      <c r="A29" s="49" t="str">
        <f aca="false">Cronograma!A29</f>
        <v>4.4</v>
      </c>
      <c r="B29" s="49" t="str">
        <f aca="false">Cronograma!B29</f>
        <v>Referentes y capacitación</v>
      </c>
      <c r="C29" s="5" t="s">
        <v>87</v>
      </c>
      <c r="D29" s="33" t="s">
        <v>239</v>
      </c>
      <c r="E29" s="45" t="n">
        <f aca="false">Cronograma!G29</f>
        <v>46336</v>
      </c>
      <c r="F29" s="45" t="n">
        <f aca="false">Cronograma!H29</f>
        <v>46357</v>
      </c>
      <c r="G29" s="50" t="n">
        <v>6750</v>
      </c>
      <c r="H29" s="51" t="n">
        <f aca="false">IF(NETWORKDAYS($E29,$F29,Feriados)&lt;=0,0,$G29*MAX(0,NETWORKDAYS(MAX($E29,H$5),MIN($F29,EOMONTH(H$5,0)),Feriados))/NETWORKDAYS($E29,$F29,Feriados))</f>
        <v>0</v>
      </c>
      <c r="I29" s="51" t="n">
        <f aca="false">IF(NETWORKDAYS($E29,$F29,Feriados)&lt;=0,0,$G29*MAX(0,NETWORKDAYS(MAX($E29,I$5),MIN($F29,EOMONTH(I$5,0)),Feriados))/NETWORKDAYS($E29,$F29,Feriados))</f>
        <v>6300</v>
      </c>
      <c r="J29" s="51" t="n">
        <f aca="false">IF(NETWORKDAYS($E29,$F29,Feriados)&lt;=0,0,$G29*MAX(0,NETWORKDAYS(MAX($E29,J$5),MIN($F29,EOMONTH(J$5,0)),Feriados))/NETWORKDAYS($E29,$F29,Feriados))</f>
        <v>450</v>
      </c>
      <c r="K29" s="51" t="n">
        <f aca="false">IF(NETWORKDAYS($E29,$F29,Feriados)&lt;=0,0,$G29*MAX(0,NETWORKDAYS(MAX($E29,K$5),MIN($F29,EOMONTH(K$5,0)),Feriados))/NETWORKDAYS($E29,$F29,Feriados))</f>
        <v>0</v>
      </c>
      <c r="L29" s="51" t="n">
        <f aca="false">IF(NETWORKDAYS($E29,$F29,Feriados)&lt;=0,0,$G29*MAX(0,NETWORKDAYS(MAX($E29,L$5),MIN($F29,EOMONTH(L$5,0)),Feriados))/NETWORKDAYS($E29,$F29,Feriados))</f>
        <v>0</v>
      </c>
      <c r="M29" s="51" t="n">
        <f aca="false">IF(NETWORKDAYS($E29,$F29,Feriados)&lt;=0,0,$G29*MAX(0,NETWORKDAYS(MAX($E29,M$5),MIN($F29,EOMONTH(M$5,0)),Feriados))/NETWORKDAYS($E29,$F29,Feriados))</f>
        <v>0</v>
      </c>
      <c r="N29" s="51" t="n">
        <f aca="false">IF(NETWORKDAYS($E29,$F29,Feriados)&lt;=0,0,$G29*MAX(0,NETWORKDAYS(MAX($E29,N$5),MIN($F29,EOMONTH(N$5,0)),Feriados))/NETWORKDAYS($E29,$F29,Feriados))</f>
        <v>0</v>
      </c>
      <c r="O29" s="51" t="n">
        <f aca="false">IF(NETWORKDAYS($E29,$F29,Feriados)&lt;=0,0,$G29*MAX(0,NETWORKDAYS(MAX($E29,O$5),MIN($F29,EOMONTH(O$5,0)),Feriados))/NETWORKDAYS($E29,$F29,Feriados))</f>
        <v>0</v>
      </c>
      <c r="P29" s="52" t="n">
        <f aca="false">ROUND(SUM(H29:O29)-G29,2)</f>
        <v>0</v>
      </c>
    </row>
    <row r="30" customFormat="false" ht="15" hidden="false" customHeight="false" outlineLevel="0" collapsed="false">
      <c r="A30" s="49" t="str">
        <f aca="false">Cronograma!A30</f>
        <v>4.5</v>
      </c>
      <c r="B30" s="49" t="str">
        <f aca="false">Cronograma!B30</f>
        <v>Materiales y mesa de ayuda N1</v>
      </c>
      <c r="C30" s="5" t="s">
        <v>87</v>
      </c>
      <c r="D30" s="33" t="s">
        <v>239</v>
      </c>
      <c r="E30" s="45" t="n">
        <f aca="false">Cronograma!G30</f>
        <v>46358</v>
      </c>
      <c r="F30" s="45" t="n">
        <f aca="false">Cronograma!H30</f>
        <v>46373</v>
      </c>
      <c r="G30" s="50" t="n">
        <v>4500</v>
      </c>
      <c r="H30" s="51" t="n">
        <f aca="false">IF(NETWORKDAYS($E30,$F30,Feriados)&lt;=0,0,$G30*MAX(0,NETWORKDAYS(MAX($E30,H$5),MIN($F30,EOMONTH(H$5,0)),Feriados))/NETWORKDAYS($E30,$F30,Feriados))</f>
        <v>0</v>
      </c>
      <c r="I30" s="51" t="n">
        <f aca="false">IF(NETWORKDAYS($E30,$F30,Feriados)&lt;=0,0,$G30*MAX(0,NETWORKDAYS(MAX($E30,I$5),MIN($F30,EOMONTH(I$5,0)),Feriados))/NETWORKDAYS($E30,$F30,Feriados))</f>
        <v>0</v>
      </c>
      <c r="J30" s="51" t="n">
        <f aca="false">IF(NETWORKDAYS($E30,$F30,Feriados)&lt;=0,0,$G30*MAX(0,NETWORKDAYS(MAX($E30,J$5),MIN($F30,EOMONTH(J$5,0)),Feriados))/NETWORKDAYS($E30,$F30,Feriados))</f>
        <v>4500</v>
      </c>
      <c r="K30" s="51" t="n">
        <f aca="false">IF(NETWORKDAYS($E30,$F30,Feriados)&lt;=0,0,$G30*MAX(0,NETWORKDAYS(MAX($E30,K$5),MIN($F30,EOMONTH(K$5,0)),Feriados))/NETWORKDAYS($E30,$F30,Feriados))</f>
        <v>0</v>
      </c>
      <c r="L30" s="51" t="n">
        <f aca="false">IF(NETWORKDAYS($E30,$F30,Feriados)&lt;=0,0,$G30*MAX(0,NETWORKDAYS(MAX($E30,L$5),MIN($F30,EOMONTH(L$5,0)),Feriados))/NETWORKDAYS($E30,$F30,Feriados))</f>
        <v>0</v>
      </c>
      <c r="M30" s="51" t="n">
        <f aca="false">IF(NETWORKDAYS($E30,$F30,Feriados)&lt;=0,0,$G30*MAX(0,NETWORKDAYS(MAX($E30,M$5),MIN($F30,EOMONTH(M$5,0)),Feriados))/NETWORKDAYS($E30,$F30,Feriados))</f>
        <v>0</v>
      </c>
      <c r="N30" s="51" t="n">
        <f aca="false">IF(NETWORKDAYS($E30,$F30,Feriados)&lt;=0,0,$G30*MAX(0,NETWORKDAYS(MAX($E30,N$5),MIN($F30,EOMONTH(N$5,0)),Feriados))/NETWORKDAYS($E30,$F30,Feriados))</f>
        <v>0</v>
      </c>
      <c r="O30" s="51" t="n">
        <f aca="false">IF(NETWORKDAYS($E30,$F30,Feriados)&lt;=0,0,$G30*MAX(0,NETWORKDAYS(MAX($E30,O$5),MIN($F30,EOMONTH(O$5,0)),Feriados))/NETWORKDAYS($E30,$F30,Feriados))</f>
        <v>0</v>
      </c>
      <c r="P30" s="52" t="n">
        <f aca="false">ROUND(SUM(H30:O30)-G30,2)</f>
        <v>0</v>
      </c>
    </row>
    <row r="31" customFormat="false" ht="15" hidden="false" customHeight="false" outlineLevel="0" collapsed="false">
      <c r="A31" s="49" t="str">
        <f aca="false">Cronograma!A31</f>
        <v>5.1</v>
      </c>
      <c r="B31" s="49" t="str">
        <f aca="false">Cronograma!B31</f>
        <v>Ambientes, migración y despliegue</v>
      </c>
      <c r="C31" s="5" t="s">
        <v>87</v>
      </c>
      <c r="D31" s="33" t="s">
        <v>240</v>
      </c>
      <c r="E31" s="45" t="n">
        <f aca="false">Cronograma!G31</f>
        <v>46308</v>
      </c>
      <c r="F31" s="45" t="n">
        <f aca="false">Cronograma!H31</f>
        <v>46323</v>
      </c>
      <c r="G31" s="50" t="n">
        <v>9000</v>
      </c>
      <c r="H31" s="51" t="n">
        <f aca="false">IF(NETWORKDAYS($E31,$F31,Feriados)&lt;=0,0,$G31*MAX(0,NETWORKDAYS(MAX($E31,H$5),MIN($F31,EOMONTH(H$5,0)),Feriados))/NETWORKDAYS($E31,$F31,Feriados))</f>
        <v>9000</v>
      </c>
      <c r="I31" s="51" t="n">
        <f aca="false">IF(NETWORKDAYS($E31,$F31,Feriados)&lt;=0,0,$G31*MAX(0,NETWORKDAYS(MAX($E31,I$5),MIN($F31,EOMONTH(I$5,0)),Feriados))/NETWORKDAYS($E31,$F31,Feriados))</f>
        <v>0</v>
      </c>
      <c r="J31" s="51" t="n">
        <f aca="false">IF(NETWORKDAYS($E31,$F31,Feriados)&lt;=0,0,$G31*MAX(0,NETWORKDAYS(MAX($E31,J$5),MIN($F31,EOMONTH(J$5,0)),Feriados))/NETWORKDAYS($E31,$F31,Feriados))</f>
        <v>0</v>
      </c>
      <c r="K31" s="51" t="n">
        <f aca="false">IF(NETWORKDAYS($E31,$F31,Feriados)&lt;=0,0,$G31*MAX(0,NETWORKDAYS(MAX($E31,K$5),MIN($F31,EOMONTH(K$5,0)),Feriados))/NETWORKDAYS($E31,$F31,Feriados))</f>
        <v>0</v>
      </c>
      <c r="L31" s="51" t="n">
        <f aca="false">IF(NETWORKDAYS($E31,$F31,Feriados)&lt;=0,0,$G31*MAX(0,NETWORKDAYS(MAX($E31,L$5),MIN($F31,EOMONTH(L$5,0)),Feriados))/NETWORKDAYS($E31,$F31,Feriados))</f>
        <v>0</v>
      </c>
      <c r="M31" s="51" t="n">
        <f aca="false">IF(NETWORKDAYS($E31,$F31,Feriados)&lt;=0,0,$G31*MAX(0,NETWORKDAYS(MAX($E31,M$5),MIN($F31,EOMONTH(M$5,0)),Feriados))/NETWORKDAYS($E31,$F31,Feriados))</f>
        <v>0</v>
      </c>
      <c r="N31" s="51" t="n">
        <f aca="false">IF(NETWORKDAYS($E31,$F31,Feriados)&lt;=0,0,$G31*MAX(0,NETWORKDAYS(MAX($E31,N$5),MIN($F31,EOMONTH(N$5,0)),Feriados))/NETWORKDAYS($E31,$F31,Feriados))</f>
        <v>0</v>
      </c>
      <c r="O31" s="51" t="n">
        <f aca="false">IF(NETWORKDAYS($E31,$F31,Feriados)&lt;=0,0,$G31*MAX(0,NETWORKDAYS(MAX($E31,O$5),MIN($F31,EOMONTH(O$5,0)),Feriados))/NETWORKDAYS($E31,$F31,Feriados))</f>
        <v>0</v>
      </c>
      <c r="P31" s="52" t="n">
        <f aca="false">ROUND(SUM(H31:O31)-G31,2)</f>
        <v>0</v>
      </c>
    </row>
    <row r="32" customFormat="false" ht="15" hidden="false" customHeight="false" outlineLevel="0" collapsed="false">
      <c r="A32" s="49" t="str">
        <f aca="false">Cronograma!A32</f>
        <v>5.2</v>
      </c>
      <c r="B32" s="49" t="str">
        <f aca="false">Cronograma!B32</f>
        <v>Piloto y ajustes</v>
      </c>
      <c r="C32" s="5" t="s">
        <v>87</v>
      </c>
      <c r="D32" s="33" t="s">
        <v>237</v>
      </c>
      <c r="E32" s="45" t="n">
        <f aca="false">Cronograma!G32</f>
        <v>46344</v>
      </c>
      <c r="F32" s="45" t="n">
        <f aca="false">Cronograma!H32</f>
        <v>46374</v>
      </c>
      <c r="G32" s="50" t="n">
        <v>15000</v>
      </c>
      <c r="H32" s="51" t="n">
        <f aca="false">IF(NETWORKDAYS($E32,$F32,Feriados)&lt;=0,0,$G32*MAX(0,NETWORKDAYS(MAX($E32,H$5),MIN($F32,EOMONTH(H$5,0)),Feriados))/NETWORKDAYS($E32,$F32,Feriados))</f>
        <v>0</v>
      </c>
      <c r="I32" s="51" t="n">
        <f aca="false">IF(NETWORKDAYS($E32,$F32,Feriados)&lt;=0,0,$G32*MAX(0,NETWORKDAYS(MAX($E32,I$5),MIN($F32,EOMONTH(I$5,0)),Feriados))/NETWORKDAYS($E32,$F32,Feriados))</f>
        <v>6000</v>
      </c>
      <c r="J32" s="51" t="n">
        <f aca="false">IF(NETWORKDAYS($E32,$F32,Feriados)&lt;=0,0,$G32*MAX(0,NETWORKDAYS(MAX($E32,J$5),MIN($F32,EOMONTH(J$5,0)),Feriados))/NETWORKDAYS($E32,$F32,Feriados))</f>
        <v>9000</v>
      </c>
      <c r="K32" s="51" t="n">
        <f aca="false">IF(NETWORKDAYS($E32,$F32,Feriados)&lt;=0,0,$G32*MAX(0,NETWORKDAYS(MAX($E32,K$5),MIN($F32,EOMONTH(K$5,0)),Feriados))/NETWORKDAYS($E32,$F32,Feriados))</f>
        <v>0</v>
      </c>
      <c r="L32" s="51" t="n">
        <f aca="false">IF(NETWORKDAYS($E32,$F32,Feriados)&lt;=0,0,$G32*MAX(0,NETWORKDAYS(MAX($E32,L$5),MIN($F32,EOMONTH(L$5,0)),Feriados))/NETWORKDAYS($E32,$F32,Feriados))</f>
        <v>0</v>
      </c>
      <c r="M32" s="51" t="n">
        <f aca="false">IF(NETWORKDAYS($E32,$F32,Feriados)&lt;=0,0,$G32*MAX(0,NETWORKDAYS(MAX($E32,M$5),MIN($F32,EOMONTH(M$5,0)),Feriados))/NETWORKDAYS($E32,$F32,Feriados))</f>
        <v>0</v>
      </c>
      <c r="N32" s="51" t="n">
        <f aca="false">IF(NETWORKDAYS($E32,$F32,Feriados)&lt;=0,0,$G32*MAX(0,NETWORKDAYS(MAX($E32,N$5),MIN($F32,EOMONTH(N$5,0)),Feriados))/NETWORKDAYS($E32,$F32,Feriados))</f>
        <v>0</v>
      </c>
      <c r="O32" s="51" t="n">
        <f aca="false">IF(NETWORKDAYS($E32,$F32,Feriados)&lt;=0,0,$G32*MAX(0,NETWORKDAYS(MAX($E32,O$5),MIN($F32,EOMONTH(O$5,0)),Feriados))/NETWORKDAYS($E32,$F32,Feriados))</f>
        <v>0</v>
      </c>
      <c r="P32" s="52" t="n">
        <f aca="false">ROUND(SUM(H32:O32)-G32,2)</f>
        <v>0</v>
      </c>
    </row>
    <row r="33" customFormat="false" ht="15" hidden="false" customHeight="false" outlineLevel="0" collapsed="false">
      <c r="A33" s="49" t="str">
        <f aca="false">Cronograma!A33</f>
        <v>5.3</v>
      </c>
      <c r="B33" s="49" t="str">
        <f aca="false">Cronograma!B33</f>
        <v>UAT y acta de aceptación</v>
      </c>
      <c r="C33" s="5" t="s">
        <v>87</v>
      </c>
      <c r="D33" s="33" t="s">
        <v>237</v>
      </c>
      <c r="E33" s="45" t="n">
        <f aca="false">Cronograma!G33</f>
        <v>46462</v>
      </c>
      <c r="F33" s="45" t="n">
        <f aca="false">Cronograma!H33</f>
        <v>46465</v>
      </c>
      <c r="G33" s="50" t="n">
        <v>6000</v>
      </c>
      <c r="H33" s="51" t="n">
        <f aca="false">IF(NETWORKDAYS($E33,$F33,Feriados)&lt;=0,0,$G33*MAX(0,NETWORKDAYS(MAX($E33,H$5),MIN($F33,EOMONTH(H$5,0)),Feriados))/NETWORKDAYS($E33,$F33,Feriados))</f>
        <v>0</v>
      </c>
      <c r="I33" s="51" t="n">
        <f aca="false">IF(NETWORKDAYS($E33,$F33,Feriados)&lt;=0,0,$G33*MAX(0,NETWORKDAYS(MAX($E33,I$5),MIN($F33,EOMONTH(I$5,0)),Feriados))/NETWORKDAYS($E33,$F33,Feriados))</f>
        <v>0</v>
      </c>
      <c r="J33" s="51" t="n">
        <f aca="false">IF(NETWORKDAYS($E33,$F33,Feriados)&lt;=0,0,$G33*MAX(0,NETWORKDAYS(MAX($E33,J$5),MIN($F33,EOMONTH(J$5,0)),Feriados))/NETWORKDAYS($E33,$F33,Feriados))</f>
        <v>0</v>
      </c>
      <c r="K33" s="51" t="n">
        <f aca="false">IF(NETWORKDAYS($E33,$F33,Feriados)&lt;=0,0,$G33*MAX(0,NETWORKDAYS(MAX($E33,K$5),MIN($F33,EOMONTH(K$5,0)),Feriados))/NETWORKDAYS($E33,$F33,Feriados))</f>
        <v>0</v>
      </c>
      <c r="L33" s="51" t="n">
        <f aca="false">IF(NETWORKDAYS($E33,$F33,Feriados)&lt;=0,0,$G33*MAX(0,NETWORKDAYS(MAX($E33,L$5),MIN($F33,EOMONTH(L$5,0)),Feriados))/NETWORKDAYS($E33,$F33,Feriados))</f>
        <v>0</v>
      </c>
      <c r="M33" s="51" t="n">
        <f aca="false">IF(NETWORKDAYS($E33,$F33,Feriados)&lt;=0,0,$G33*MAX(0,NETWORKDAYS(MAX($E33,M$5),MIN($F33,EOMONTH(M$5,0)),Feriados))/NETWORKDAYS($E33,$F33,Feriados))</f>
        <v>6000</v>
      </c>
      <c r="N33" s="51" t="n">
        <f aca="false">IF(NETWORKDAYS($E33,$F33,Feriados)&lt;=0,0,$G33*MAX(0,NETWORKDAYS(MAX($E33,N$5),MIN($F33,EOMONTH(N$5,0)),Feriados))/NETWORKDAYS($E33,$F33,Feriados))</f>
        <v>0</v>
      </c>
      <c r="O33" s="51" t="n">
        <f aca="false">IF(NETWORKDAYS($E33,$F33,Feriados)&lt;=0,0,$G33*MAX(0,NETWORKDAYS(MAX($E33,O$5),MIN($F33,EOMONTH(O$5,0)),Feriados))/NETWORKDAYS($E33,$F33,Feriados))</f>
        <v>0</v>
      </c>
      <c r="P33" s="52" t="n">
        <f aca="false">ROUND(SUM(H33:O33)-G33,2)</f>
        <v>0</v>
      </c>
    </row>
    <row r="34" customFormat="false" ht="15" hidden="false" customHeight="false" outlineLevel="0" collapsed="false">
      <c r="A34" s="49" t="str">
        <f aca="false">Cronograma!A34</f>
        <v>5.4</v>
      </c>
      <c r="B34" s="49" t="str">
        <f aca="false">Cronograma!B34</f>
        <v>Go-live y estabilización (4 semanas)</v>
      </c>
      <c r="C34" s="5" t="s">
        <v>87</v>
      </c>
      <c r="D34" s="33" t="s">
        <v>237</v>
      </c>
      <c r="E34" s="45" t="n">
        <f aca="false">Cronograma!G34</f>
        <v>46477</v>
      </c>
      <c r="F34" s="45" t="n">
        <f aca="false">Cronograma!H34</f>
        <v>46505</v>
      </c>
      <c r="G34" s="50" t="n">
        <v>28700</v>
      </c>
      <c r="H34" s="51" t="n">
        <f aca="false">IF(NETWORKDAYS($E34,$F34,Feriados)&lt;=0,0,$G34*MAX(0,NETWORKDAYS(MAX($E34,H$5),MIN($F34,EOMONTH(H$5,0)),Feriados))/NETWORKDAYS($E34,$F34,Feriados))</f>
        <v>0</v>
      </c>
      <c r="I34" s="51" t="n">
        <f aca="false">IF(NETWORKDAYS($E34,$F34,Feriados)&lt;=0,0,$G34*MAX(0,NETWORKDAYS(MAX($E34,I$5),MIN($F34,EOMONTH(I$5,0)),Feriados))/NETWORKDAYS($E34,$F34,Feriados))</f>
        <v>0</v>
      </c>
      <c r="J34" s="51" t="n">
        <f aca="false">IF(NETWORKDAYS($E34,$F34,Feriados)&lt;=0,0,$G34*MAX(0,NETWORKDAYS(MAX($E34,J$5),MIN($F34,EOMONTH(J$5,0)),Feriados))/NETWORKDAYS($E34,$F34,Feriados))</f>
        <v>0</v>
      </c>
      <c r="K34" s="51" t="n">
        <f aca="false">IF(NETWORKDAYS($E34,$F34,Feriados)&lt;=0,0,$G34*MAX(0,NETWORKDAYS(MAX($E34,K$5),MIN($F34,EOMONTH(K$5,0)),Feriados))/NETWORKDAYS($E34,$F34,Feriados))</f>
        <v>0</v>
      </c>
      <c r="L34" s="51" t="n">
        <f aca="false">IF(NETWORKDAYS($E34,$F34,Feriados)&lt;=0,0,$G34*MAX(0,NETWORKDAYS(MAX($E34,L$5),MIN($F34,EOMONTH(L$5,0)),Feriados))/NETWORKDAYS($E34,$F34,Feriados))</f>
        <v>0</v>
      </c>
      <c r="M34" s="51" t="n">
        <f aca="false">IF(NETWORKDAYS($E34,$F34,Feriados)&lt;=0,0,$G34*MAX(0,NETWORKDAYS(MAX($E34,M$5),MIN($F34,EOMONTH(M$5,0)),Feriados))/NETWORKDAYS($E34,$F34,Feriados))</f>
        <v>1435</v>
      </c>
      <c r="N34" s="51" t="n">
        <f aca="false">IF(NETWORKDAYS($E34,$F34,Feriados)&lt;=0,0,$G34*MAX(0,NETWORKDAYS(MAX($E34,N$5),MIN($F34,EOMONTH(N$5,0)),Feriados))/NETWORKDAYS($E34,$F34,Feriados))</f>
        <v>27265</v>
      </c>
      <c r="O34" s="51" t="n">
        <f aca="false">IF(NETWORKDAYS($E34,$F34,Feriados)&lt;=0,0,$G34*MAX(0,NETWORKDAYS(MAX($E34,O$5),MIN($F34,EOMONTH(O$5,0)),Feriados))/NETWORKDAYS($E34,$F34,Feriados))</f>
        <v>0</v>
      </c>
      <c r="P34" s="52" t="n">
        <f aca="false">ROUND(SUM(H34:O34)-G34,2)</f>
        <v>0</v>
      </c>
    </row>
    <row r="35" customFormat="false" ht="15" hidden="false" customHeight="false" outlineLevel="0" collapsed="false">
      <c r="A35" s="49" t="str">
        <f aca="false">Cronograma!A35</f>
        <v>5.5</v>
      </c>
      <c r="B35" s="49" t="str">
        <f aca="false">Cronograma!B35</f>
        <v>Tablero y transferencia del seguimiento</v>
      </c>
      <c r="C35" s="5" t="s">
        <v>87</v>
      </c>
      <c r="D35" s="33" t="s">
        <v>237</v>
      </c>
      <c r="E35" s="45" t="n">
        <f aca="false">Cronograma!G35</f>
        <v>46496</v>
      </c>
      <c r="F35" s="45" t="n">
        <f aca="false">Cronograma!H35</f>
        <v>46507</v>
      </c>
      <c r="G35" s="50" t="n">
        <v>7500</v>
      </c>
      <c r="H35" s="51" t="n">
        <f aca="false">IF(NETWORKDAYS($E35,$F35,Feriados)&lt;=0,0,$G35*MAX(0,NETWORKDAYS(MAX($E35,H$5),MIN($F35,EOMONTH(H$5,0)),Feriados))/NETWORKDAYS($E35,$F35,Feriados))</f>
        <v>0</v>
      </c>
      <c r="I35" s="51" t="n">
        <f aca="false">IF(NETWORKDAYS($E35,$F35,Feriados)&lt;=0,0,$G35*MAX(0,NETWORKDAYS(MAX($E35,I$5),MIN($F35,EOMONTH(I$5,0)),Feriados))/NETWORKDAYS($E35,$F35,Feriados))</f>
        <v>0</v>
      </c>
      <c r="J35" s="51" t="n">
        <f aca="false">IF(NETWORKDAYS($E35,$F35,Feriados)&lt;=0,0,$G35*MAX(0,NETWORKDAYS(MAX($E35,J$5),MIN($F35,EOMONTH(J$5,0)),Feriados))/NETWORKDAYS($E35,$F35,Feriados))</f>
        <v>0</v>
      </c>
      <c r="K35" s="51" t="n">
        <f aca="false">IF(NETWORKDAYS($E35,$F35,Feriados)&lt;=0,0,$G35*MAX(0,NETWORKDAYS(MAX($E35,K$5),MIN($F35,EOMONTH(K$5,0)),Feriados))/NETWORKDAYS($E35,$F35,Feriados))</f>
        <v>0</v>
      </c>
      <c r="L35" s="51" t="n">
        <f aca="false">IF(NETWORKDAYS($E35,$F35,Feriados)&lt;=0,0,$G35*MAX(0,NETWORKDAYS(MAX($E35,L$5),MIN($F35,EOMONTH(L$5,0)),Feriados))/NETWORKDAYS($E35,$F35,Feriados))</f>
        <v>0</v>
      </c>
      <c r="M35" s="51" t="n">
        <f aca="false">IF(NETWORKDAYS($E35,$F35,Feriados)&lt;=0,0,$G35*MAX(0,NETWORKDAYS(MAX($E35,M$5),MIN($F35,EOMONTH(M$5,0)),Feriados))/NETWORKDAYS($E35,$F35,Feriados))</f>
        <v>0</v>
      </c>
      <c r="N35" s="51" t="n">
        <f aca="false">IF(NETWORKDAYS($E35,$F35,Feriados)&lt;=0,0,$G35*MAX(0,NETWORKDAYS(MAX($E35,N$5),MIN($F35,EOMONTH(N$5,0)),Feriados))/NETWORKDAYS($E35,$F35,Feriados))</f>
        <v>7500</v>
      </c>
      <c r="O35" s="51" t="n">
        <f aca="false">IF(NETWORKDAYS($E35,$F35,Feriados)&lt;=0,0,$G35*MAX(0,NETWORKDAYS(MAX($E35,O$5),MIN($F35,EOMONTH(O$5,0)),Feriados))/NETWORKDAYS($E35,$F35,Feriados))</f>
        <v>0</v>
      </c>
      <c r="P35" s="52" t="n">
        <f aca="false">ROUND(SUM(H35:O35)-G35,2)</f>
        <v>0</v>
      </c>
    </row>
    <row r="36" customFormat="false" ht="15" hidden="false" customHeight="false" outlineLevel="0" collapsed="false">
      <c r="A36" s="49" t="str">
        <f aca="false">Cronograma!A36</f>
        <v>5.6</v>
      </c>
      <c r="B36" s="49" t="str">
        <f aca="false">Cronograma!B36</f>
        <v>Informe de ocupación y recomendación</v>
      </c>
      <c r="C36" s="5" t="s">
        <v>87</v>
      </c>
      <c r="D36" s="33" t="s">
        <v>237</v>
      </c>
      <c r="E36" s="45" t="n">
        <f aca="false">Cronograma!G36</f>
        <v>46496</v>
      </c>
      <c r="F36" s="45" t="n">
        <f aca="false">Cronograma!H36</f>
        <v>46507</v>
      </c>
      <c r="G36" s="50" t="n">
        <v>4500</v>
      </c>
      <c r="H36" s="51" t="n">
        <f aca="false">IF(NETWORKDAYS($E36,$F36,Feriados)&lt;=0,0,$G36*MAX(0,NETWORKDAYS(MAX($E36,H$5),MIN($F36,EOMONTH(H$5,0)),Feriados))/NETWORKDAYS($E36,$F36,Feriados))</f>
        <v>0</v>
      </c>
      <c r="I36" s="51" t="n">
        <f aca="false">IF(NETWORKDAYS($E36,$F36,Feriados)&lt;=0,0,$G36*MAX(0,NETWORKDAYS(MAX($E36,I$5),MIN($F36,EOMONTH(I$5,0)),Feriados))/NETWORKDAYS($E36,$F36,Feriados))</f>
        <v>0</v>
      </c>
      <c r="J36" s="51" t="n">
        <f aca="false">IF(NETWORKDAYS($E36,$F36,Feriados)&lt;=0,0,$G36*MAX(0,NETWORKDAYS(MAX($E36,J$5),MIN($F36,EOMONTH(J$5,0)),Feriados))/NETWORKDAYS($E36,$F36,Feriados))</f>
        <v>0</v>
      </c>
      <c r="K36" s="51" t="n">
        <f aca="false">IF(NETWORKDAYS($E36,$F36,Feriados)&lt;=0,0,$G36*MAX(0,NETWORKDAYS(MAX($E36,K$5),MIN($F36,EOMONTH(K$5,0)),Feriados))/NETWORKDAYS($E36,$F36,Feriados))</f>
        <v>0</v>
      </c>
      <c r="L36" s="51" t="n">
        <f aca="false">IF(NETWORKDAYS($E36,$F36,Feriados)&lt;=0,0,$G36*MAX(0,NETWORKDAYS(MAX($E36,L$5),MIN($F36,EOMONTH(L$5,0)),Feriados))/NETWORKDAYS($E36,$F36,Feriados))</f>
        <v>0</v>
      </c>
      <c r="M36" s="51" t="n">
        <f aca="false">IF(NETWORKDAYS($E36,$F36,Feriados)&lt;=0,0,$G36*MAX(0,NETWORKDAYS(MAX($E36,M$5),MIN($F36,EOMONTH(M$5,0)),Feriados))/NETWORKDAYS($E36,$F36,Feriados))</f>
        <v>0</v>
      </c>
      <c r="N36" s="51" t="n">
        <f aca="false">IF(NETWORKDAYS($E36,$F36,Feriados)&lt;=0,0,$G36*MAX(0,NETWORKDAYS(MAX($E36,N$5),MIN($F36,EOMONTH(N$5,0)),Feriados))/NETWORKDAYS($E36,$F36,Feriados))</f>
        <v>4500</v>
      </c>
      <c r="O36" s="51" t="n">
        <f aca="false">IF(NETWORKDAYS($E36,$F36,Feriados)&lt;=0,0,$G36*MAX(0,NETWORKDAYS(MAX($E36,O$5),MIN($F36,EOMONTH(O$5,0)),Feriados))/NETWORKDAYS($E36,$F36,Feriados))</f>
        <v>0</v>
      </c>
      <c r="P36" s="52" t="n">
        <f aca="false">ROUND(SUM(H36:O36)-G36,2)</f>
        <v>0</v>
      </c>
    </row>
    <row r="37" customFormat="false" ht="15" hidden="false" customHeight="false" outlineLevel="0" collapsed="false">
      <c r="A37" s="31" t="s">
        <v>241</v>
      </c>
      <c r="B37" s="5" t="s">
        <v>242</v>
      </c>
      <c r="C37" s="5" t="s">
        <v>243</v>
      </c>
      <c r="D37" s="33" t="s">
        <v>244</v>
      </c>
      <c r="E37" s="36" t="n">
        <f aca="false">InicioProyecto</f>
        <v>46296</v>
      </c>
      <c r="F37" s="36" t="n">
        <f aca="false">InicioProyecto</f>
        <v>46296</v>
      </c>
      <c r="G37" s="50" t="n">
        <v>108000</v>
      </c>
      <c r="H37" s="51" t="n">
        <f aca="false">IF(NETWORKDAYS($E37,$F37,Feriados)&lt;=0,0,$G37*MAX(0,NETWORKDAYS(MAX($E37,H$5),MIN($F37,EOMONTH(H$5,0)),Feriados))/NETWORKDAYS($E37,$F37,Feriados))</f>
        <v>108000</v>
      </c>
      <c r="I37" s="51" t="n">
        <f aca="false">IF(NETWORKDAYS($E37,$F37,Feriados)&lt;=0,0,$G37*MAX(0,NETWORKDAYS(MAX($E37,I$5),MIN($F37,EOMONTH(I$5,0)),Feriados))/NETWORKDAYS($E37,$F37,Feriados))</f>
        <v>0</v>
      </c>
      <c r="J37" s="51" t="n">
        <f aca="false">IF(NETWORKDAYS($E37,$F37,Feriados)&lt;=0,0,$G37*MAX(0,NETWORKDAYS(MAX($E37,J$5),MIN($F37,EOMONTH(J$5,0)),Feriados))/NETWORKDAYS($E37,$F37,Feriados))</f>
        <v>0</v>
      </c>
      <c r="K37" s="51" t="n">
        <f aca="false">IF(NETWORKDAYS($E37,$F37,Feriados)&lt;=0,0,$G37*MAX(0,NETWORKDAYS(MAX($E37,K$5),MIN($F37,EOMONTH(K$5,0)),Feriados))/NETWORKDAYS($E37,$F37,Feriados))</f>
        <v>0</v>
      </c>
      <c r="L37" s="51" t="n">
        <f aca="false">IF(NETWORKDAYS($E37,$F37,Feriados)&lt;=0,0,$G37*MAX(0,NETWORKDAYS(MAX($E37,L$5),MIN($F37,EOMONTH(L$5,0)),Feriados))/NETWORKDAYS($E37,$F37,Feriados))</f>
        <v>0</v>
      </c>
      <c r="M37" s="51" t="n">
        <f aca="false">IF(NETWORKDAYS($E37,$F37,Feriados)&lt;=0,0,$G37*MAX(0,NETWORKDAYS(MAX($E37,M$5),MIN($F37,EOMONTH(M$5,0)),Feriados))/NETWORKDAYS($E37,$F37,Feriados))</f>
        <v>0</v>
      </c>
      <c r="N37" s="51" t="n">
        <f aca="false">IF(NETWORKDAYS($E37,$F37,Feriados)&lt;=0,0,$G37*MAX(0,NETWORKDAYS(MAX($E37,N$5),MIN($F37,EOMONTH(N$5,0)),Feriados))/NETWORKDAYS($E37,$F37,Feriados))</f>
        <v>0</v>
      </c>
      <c r="O37" s="51" t="n">
        <f aca="false">IF(NETWORKDAYS($E37,$F37,Feriados)&lt;=0,0,$G37*MAX(0,NETWORKDAYS(MAX($E37,O$5),MIN($F37,EOMONTH(O$5,0)),Feriados))/NETWORKDAYS($E37,$F37,Feriados))</f>
        <v>0</v>
      </c>
      <c r="P37" s="52" t="n">
        <f aca="false">ROUND(SUM(H37:O37)-G37,2)</f>
        <v>0</v>
      </c>
    </row>
    <row r="38" customFormat="false" ht="15" hidden="false" customHeight="false" outlineLevel="0" collapsed="false">
      <c r="A38" s="31" t="s">
        <v>245</v>
      </c>
      <c r="B38" s="5" t="s">
        <v>246</v>
      </c>
      <c r="C38" s="5" t="s">
        <v>247</v>
      </c>
      <c r="D38" s="33" t="s">
        <v>240</v>
      </c>
      <c r="E38" s="45" t="n">
        <f aca="false">Cronograma!G31</f>
        <v>46308</v>
      </c>
      <c r="F38" s="45" t="n">
        <f aca="false">Cronograma!H34</f>
        <v>46505</v>
      </c>
      <c r="G38" s="53" t="n">
        <v>13000</v>
      </c>
      <c r="H38" s="51" t="n">
        <f aca="false">IF(NETWORKDAYS($E38,$F38,Feriados)&lt;=0,0,$G38*MAX(0,NETWORKDAYS(MAX($E38,H$5),MIN($F38,EOMONTH(H$5,0)),Feriados))/NETWORKDAYS($E38,$F38,Feriados))</f>
        <v>1389.31297709924</v>
      </c>
      <c r="I38" s="51" t="n">
        <f aca="false">IF(NETWORKDAYS($E38,$F38,Feriados)&lt;=0,0,$G38*MAX(0,NETWORKDAYS(MAX($E38,I$5),MIN($F38,EOMONTH(I$5,0)),Feriados))/NETWORKDAYS($E38,$F38,Feriados))</f>
        <v>1984.73282442748</v>
      </c>
      <c r="J38" s="51" t="n">
        <f aca="false">IF(NETWORKDAYS($E38,$F38,Feriados)&lt;=0,0,$G38*MAX(0,NETWORKDAYS(MAX($E38,J$5),MIN($F38,EOMONTH(J$5,0)),Feriados))/NETWORKDAYS($E38,$F38,Feriados))</f>
        <v>1984.73282442748</v>
      </c>
      <c r="K38" s="51" t="n">
        <f aca="false">IF(NETWORKDAYS($E38,$F38,Feriados)&lt;=0,0,$G38*MAX(0,NETWORKDAYS(MAX($E38,K$5),MIN($F38,EOMONTH(K$5,0)),Feriados))/NETWORKDAYS($E38,$F38,Feriados))</f>
        <v>1984.73282442748</v>
      </c>
      <c r="L38" s="51" t="n">
        <f aca="false">IF(NETWORKDAYS($E38,$F38,Feriados)&lt;=0,0,$G38*MAX(0,NETWORKDAYS(MAX($E38,L$5),MIN($F38,EOMONTH(L$5,0)),Feriados))/NETWORKDAYS($E38,$F38,Feriados))</f>
        <v>1786.25954198473</v>
      </c>
      <c r="M38" s="51" t="n">
        <f aca="false">IF(NETWORKDAYS($E38,$F38,Feriados)&lt;=0,0,$G38*MAX(0,NETWORKDAYS(MAX($E38,M$5),MIN($F38,EOMONTH(M$5,0)),Feriados))/NETWORKDAYS($E38,$F38,Feriados))</f>
        <v>1984.73282442748</v>
      </c>
      <c r="N38" s="51" t="n">
        <f aca="false">IF(NETWORKDAYS($E38,$F38,Feriados)&lt;=0,0,$G38*MAX(0,NETWORKDAYS(MAX($E38,N$5),MIN($F38,EOMONTH(N$5,0)),Feriados))/NETWORKDAYS($E38,$F38,Feriados))</f>
        <v>1885.49618320611</v>
      </c>
      <c r="O38" s="51" t="n">
        <f aca="false">IF(NETWORKDAYS($E38,$F38,Feriados)&lt;=0,0,$G38*MAX(0,NETWORKDAYS(MAX($E38,O$5),MIN($F38,EOMONTH(O$5,0)),Feriados))/NETWORKDAYS($E38,$F38,Feriados))</f>
        <v>0</v>
      </c>
      <c r="P38" s="52" t="n">
        <f aca="false">ROUND(SUM(H38:O38)-G38,2)</f>
        <v>0</v>
      </c>
    </row>
    <row r="39" customFormat="false" ht="15" hidden="false" customHeight="false" outlineLevel="0" collapsed="false">
      <c r="A39" s="31" t="s">
        <v>248</v>
      </c>
      <c r="B39" s="5" t="s">
        <v>249</v>
      </c>
      <c r="C39" s="5" t="s">
        <v>247</v>
      </c>
      <c r="D39" s="33" t="s">
        <v>239</v>
      </c>
      <c r="E39" s="45" t="n">
        <f aca="false">MIN(Cronograma!G28,Cronograma!G29,Cronograma!G30)</f>
        <v>46336</v>
      </c>
      <c r="F39" s="45" t="n">
        <f aca="false">MAX(Cronograma!H28,Cronograma!H29,Cronograma!H30)</f>
        <v>46465</v>
      </c>
      <c r="G39" s="53" t="n">
        <v>11000</v>
      </c>
      <c r="H39" s="51" t="n">
        <f aca="false">IF(NETWORKDAYS($E39,$F39,Feriados)&lt;=0,0,$G39*MAX(0,NETWORKDAYS(MAX($E39,H$5),MIN($F39,EOMONTH(H$5,0)),Feriados))/NETWORKDAYS($E39,$F39,Feriados))</f>
        <v>0</v>
      </c>
      <c r="I39" s="51" t="n">
        <f aca="false">IF(NETWORKDAYS($E39,$F39,Feriados)&lt;=0,0,$G39*MAX(0,NETWORKDAYS(MAX($E39,I$5),MIN($F39,EOMONTH(I$5,0)),Feriados))/NETWORKDAYS($E39,$F39,Feriados))</f>
        <v>1770.11494252874</v>
      </c>
      <c r="J39" s="51" t="n">
        <f aca="false">IF(NETWORKDAYS($E39,$F39,Feriados)&lt;=0,0,$G39*MAX(0,NETWORKDAYS(MAX($E39,J$5),MIN($F39,EOMONTH(J$5,0)),Feriados))/NETWORKDAYS($E39,$F39,Feriados))</f>
        <v>2528.73563218391</v>
      </c>
      <c r="K39" s="51" t="n">
        <f aca="false">IF(NETWORKDAYS($E39,$F39,Feriados)&lt;=0,0,$G39*MAX(0,NETWORKDAYS(MAX($E39,K$5),MIN($F39,EOMONTH(K$5,0)),Feriados))/NETWORKDAYS($E39,$F39,Feriados))</f>
        <v>2528.73563218391</v>
      </c>
      <c r="L39" s="51" t="n">
        <f aca="false">IF(NETWORKDAYS($E39,$F39,Feriados)&lt;=0,0,$G39*MAX(0,NETWORKDAYS(MAX($E39,L$5),MIN($F39,EOMONTH(L$5,0)),Feriados))/NETWORKDAYS($E39,$F39,Feriados))</f>
        <v>2275.86206896552</v>
      </c>
      <c r="M39" s="51" t="n">
        <f aca="false">IF(NETWORKDAYS($E39,$F39,Feriados)&lt;=0,0,$G39*MAX(0,NETWORKDAYS(MAX($E39,M$5),MIN($F39,EOMONTH(M$5,0)),Feriados))/NETWORKDAYS($E39,$F39,Feriados))</f>
        <v>1896.55172413793</v>
      </c>
      <c r="N39" s="51" t="n">
        <f aca="false">IF(NETWORKDAYS($E39,$F39,Feriados)&lt;=0,0,$G39*MAX(0,NETWORKDAYS(MAX($E39,N$5),MIN($F39,EOMONTH(N$5,0)),Feriados))/NETWORKDAYS($E39,$F39,Feriados))</f>
        <v>0</v>
      </c>
      <c r="O39" s="51" t="n">
        <f aca="false">IF(NETWORKDAYS($E39,$F39,Feriados)&lt;=0,0,$G39*MAX(0,NETWORKDAYS(MAX($E39,O$5),MIN($F39,EOMONTH(O$5,0)),Feriados))/NETWORKDAYS($E39,$F39,Feriados))</f>
        <v>0</v>
      </c>
      <c r="P39" s="52" t="n">
        <f aca="false">ROUND(SUM(H39:O39)-G39,2)</f>
        <v>0</v>
      </c>
    </row>
    <row r="40" customFormat="false" ht="15" hidden="false" customHeight="false" outlineLevel="0" collapsed="false">
      <c r="A40" s="31" t="s">
        <v>250</v>
      </c>
      <c r="B40" s="5" t="s">
        <v>251</v>
      </c>
      <c r="C40" s="5" t="s">
        <v>247</v>
      </c>
      <c r="D40" s="33" t="s">
        <v>238</v>
      </c>
      <c r="E40" s="45" t="n">
        <f aca="false">Cronograma!G21</f>
        <v>46308</v>
      </c>
      <c r="F40" s="45" t="n">
        <f aca="false">Cronograma!H25</f>
        <v>46398</v>
      </c>
      <c r="G40" s="53" t="n">
        <v>4000</v>
      </c>
      <c r="H40" s="51" t="n">
        <f aca="false">IF(NETWORKDAYS($E40,$F40,Feriados)&lt;=0,0,$G40*MAX(0,NETWORKDAYS(MAX($E40,H$5),MIN($F40,EOMONTH(H$5,0)),Feriados))/NETWORKDAYS($E40,$F40,Feriados))</f>
        <v>933.333333333333</v>
      </c>
      <c r="I40" s="51" t="n">
        <f aca="false">IF(NETWORKDAYS($E40,$F40,Feriados)&lt;=0,0,$G40*MAX(0,NETWORKDAYS(MAX($E40,I$5),MIN($F40,EOMONTH(I$5,0)),Feriados))/NETWORKDAYS($E40,$F40,Feriados))</f>
        <v>1333.33333333333</v>
      </c>
      <c r="J40" s="51" t="n">
        <f aca="false">IF(NETWORKDAYS($E40,$F40,Feriados)&lt;=0,0,$G40*MAX(0,NETWORKDAYS(MAX($E40,J$5),MIN($F40,EOMONTH(J$5,0)),Feriados))/NETWORKDAYS($E40,$F40,Feriados))</f>
        <v>1333.33333333333</v>
      </c>
      <c r="K40" s="51" t="n">
        <f aca="false">IF(NETWORKDAYS($E40,$F40,Feriados)&lt;=0,0,$G40*MAX(0,NETWORKDAYS(MAX($E40,K$5),MIN($F40,EOMONTH(K$5,0)),Feriados))/NETWORKDAYS($E40,$F40,Feriados))</f>
        <v>400</v>
      </c>
      <c r="L40" s="51" t="n">
        <f aca="false">IF(NETWORKDAYS($E40,$F40,Feriados)&lt;=0,0,$G40*MAX(0,NETWORKDAYS(MAX($E40,L$5),MIN($F40,EOMONTH(L$5,0)),Feriados))/NETWORKDAYS($E40,$F40,Feriados))</f>
        <v>0</v>
      </c>
      <c r="M40" s="51" t="n">
        <f aca="false">IF(NETWORKDAYS($E40,$F40,Feriados)&lt;=0,0,$G40*MAX(0,NETWORKDAYS(MAX($E40,M$5),MIN($F40,EOMONTH(M$5,0)),Feriados))/NETWORKDAYS($E40,$F40,Feriados))</f>
        <v>0</v>
      </c>
      <c r="N40" s="51" t="n">
        <f aca="false">IF(NETWORKDAYS($E40,$F40,Feriados)&lt;=0,0,$G40*MAX(0,NETWORKDAYS(MAX($E40,N$5),MIN($F40,EOMONTH(N$5,0)),Feriados))/NETWORKDAYS($E40,$F40,Feriados))</f>
        <v>0</v>
      </c>
      <c r="O40" s="51" t="n">
        <f aca="false">IF(NETWORKDAYS($E40,$F40,Feriados)&lt;=0,0,$G40*MAX(0,NETWORKDAYS(MAX($E40,O$5),MIN($F40,EOMONTH(O$5,0)),Feriados))/NETWORKDAYS($E40,$F40,Feriados))</f>
        <v>0</v>
      </c>
      <c r="P40" s="52" t="n">
        <f aca="false">ROUND(SUM(H40:O40)-G40,2)</f>
        <v>0</v>
      </c>
    </row>
    <row r="41" customFormat="false" ht="15" hidden="false" customHeight="false" outlineLevel="0" collapsed="false">
      <c r="A41" s="54"/>
      <c r="B41" s="55" t="s">
        <v>252</v>
      </c>
      <c r="C41" s="54"/>
      <c r="D41" s="54"/>
      <c r="E41" s="54"/>
      <c r="F41" s="54"/>
      <c r="G41" s="56" t="n">
        <f aca="false">SUM(G6:G40)</f>
        <v>398000</v>
      </c>
      <c r="H41" s="56" t="n">
        <f aca="false">SUM(H6:H40)</f>
        <v>175571.330520959</v>
      </c>
      <c r="I41" s="56" t="n">
        <f aca="false">SUM(I6:I40)</f>
        <v>85768.4442581843</v>
      </c>
      <c r="J41" s="56" t="n">
        <f aca="false">SUM(J6:J40)</f>
        <v>43502.0649478395</v>
      </c>
      <c r="K41" s="56" t="n">
        <f aca="false">SUM(K6:K40)</f>
        <v>19168.7316145061</v>
      </c>
      <c r="L41" s="56" t="n">
        <f aca="false">SUM(L6:L40)</f>
        <v>5956.85845305551</v>
      </c>
      <c r="M41" s="56" t="n">
        <f aca="false">SUM(M6:M40)</f>
        <v>20171.5477064601</v>
      </c>
      <c r="N41" s="56" t="n">
        <f aca="false">SUM(N6:N40)</f>
        <v>47861.0224989956</v>
      </c>
      <c r="O41" s="56" t="n">
        <f aca="false">SUM(O6:O40)</f>
        <v>0</v>
      </c>
      <c r="P41" s="57" t="n">
        <f aca="false">ROUND(SUM(P6:P40),2)</f>
        <v>0</v>
      </c>
    </row>
    <row r="43" customFormat="false" ht="15" hidden="false" customHeight="false" outlineLevel="0" collapsed="false">
      <c r="A43" s="4" t="s">
        <v>253</v>
      </c>
    </row>
    <row r="44" customFormat="false" ht="30" hidden="false" customHeight="true" outlineLevel="0" collapsed="false">
      <c r="A44" s="14"/>
      <c r="B44" s="14" t="s">
        <v>254</v>
      </c>
      <c r="C44" s="14" t="s">
        <v>255</v>
      </c>
      <c r="D44" s="14" t="s">
        <v>256</v>
      </c>
      <c r="E44" s="14" t="s">
        <v>257</v>
      </c>
      <c r="F44" s="14" t="s">
        <v>258</v>
      </c>
      <c r="G44" s="14"/>
      <c r="H44" s="14"/>
    </row>
    <row r="45" customFormat="false" ht="15" hidden="false" customHeight="false" outlineLevel="0" collapsed="false">
      <c r="B45" s="5" t="s">
        <v>244</v>
      </c>
      <c r="C45" s="50" t="n">
        <v>108000</v>
      </c>
      <c r="D45" s="51" t="n">
        <f aca="false">SUMIF($D$6:$D$40,$B45,$G$6:$G$40)</f>
        <v>108000</v>
      </c>
      <c r="E45" s="51" t="n">
        <f aca="false">D45-C45</f>
        <v>0</v>
      </c>
      <c r="F45" s="21" t="s">
        <v>259</v>
      </c>
    </row>
    <row r="46" customFormat="false" ht="15" hidden="false" customHeight="false" outlineLevel="0" collapsed="false">
      <c r="B46" s="5" t="s">
        <v>237</v>
      </c>
      <c r="C46" s="50" t="n">
        <f aca="false">168000+16000</f>
        <v>184000</v>
      </c>
      <c r="D46" s="51" t="n">
        <f aca="false">SUMIF($D$6:$D$40,$B46,$G$6:$G$40)</f>
        <v>184450</v>
      </c>
      <c r="E46" s="51" t="n">
        <f aca="false">D46-C46</f>
        <v>450</v>
      </c>
      <c r="F46" s="21" t="s">
        <v>260</v>
      </c>
    </row>
    <row r="47" customFormat="false" ht="15" hidden="false" customHeight="false" outlineLevel="0" collapsed="false">
      <c r="B47" s="5" t="s">
        <v>238</v>
      </c>
      <c r="C47" s="50" t="n">
        <v>46000</v>
      </c>
      <c r="D47" s="51" t="n">
        <f aca="false">SUMIF($D$6:$D$40,$B47,$G$6:$G$40)</f>
        <v>45550</v>
      </c>
      <c r="E47" s="51" t="n">
        <f aca="false">D47-C47</f>
        <v>-450</v>
      </c>
      <c r="F47" s="21" t="s">
        <v>261</v>
      </c>
    </row>
    <row r="48" customFormat="false" ht="15" hidden="false" customHeight="false" outlineLevel="0" collapsed="false">
      <c r="B48" s="5" t="s">
        <v>240</v>
      </c>
      <c r="C48" s="50" t="n">
        <v>22000</v>
      </c>
      <c r="D48" s="51" t="n">
        <f aca="false">SUMIF($D$6:$D$40,$B48,$G$6:$G$40)</f>
        <v>22000</v>
      </c>
      <c r="E48" s="51" t="n">
        <f aca="false">D48-C48</f>
        <v>0</v>
      </c>
      <c r="F48" s="21" t="s">
        <v>262</v>
      </c>
    </row>
    <row r="49" customFormat="false" ht="15" hidden="false" customHeight="false" outlineLevel="0" collapsed="false">
      <c r="B49" s="5" t="s">
        <v>239</v>
      </c>
      <c r="C49" s="50" t="n">
        <v>38000</v>
      </c>
      <c r="D49" s="51" t="n">
        <f aca="false">SUMIF($D$6:$D$40,$B49,$G$6:$G$40)</f>
        <v>38000</v>
      </c>
      <c r="E49" s="51" t="n">
        <f aca="false">D49-C49</f>
        <v>0</v>
      </c>
      <c r="F49" s="21" t="s">
        <v>263</v>
      </c>
    </row>
    <row r="50" customFormat="false" ht="15" hidden="false" customHeight="false" outlineLevel="0" collapsed="false">
      <c r="B50" s="55" t="s">
        <v>252</v>
      </c>
      <c r="C50" s="56" t="n">
        <f aca="false">SUM(C45:C49)</f>
        <v>398000</v>
      </c>
      <c r="D50" s="56" t="n">
        <f aca="false">SUM(D45:D49)</f>
        <v>398000</v>
      </c>
      <c r="E50" s="56" t="n">
        <f aca="false">D50-C50</f>
        <v>0</v>
      </c>
      <c r="F50" s="21" t="s">
        <v>264</v>
      </c>
    </row>
    <row r="51" customFormat="false" ht="15" hidden="false" customHeight="false" outlineLevel="0" collapsed="false">
      <c r="B51" s="5" t="s">
        <v>265</v>
      </c>
      <c r="C51" s="51" t="n">
        <f aca="false">Parámetros!$B$7</f>
        <v>22000</v>
      </c>
      <c r="D51" s="51" t="n">
        <f aca="false">Parámetros!$B$7</f>
        <v>22000</v>
      </c>
      <c r="E51" s="51" t="n">
        <f aca="false">D51-C51</f>
        <v>0</v>
      </c>
      <c r="F51" s="21" t="s">
        <v>266</v>
      </c>
    </row>
    <row r="52" customFormat="false" ht="15" hidden="false" customHeight="false" outlineLevel="0" collapsed="false">
      <c r="B52" s="55" t="s">
        <v>267</v>
      </c>
      <c r="C52" s="56" t="n">
        <f aca="false">C50+C51</f>
        <v>420000</v>
      </c>
      <c r="D52" s="56" t="n">
        <f aca="false">D50+D51</f>
        <v>420000</v>
      </c>
      <c r="E52" s="56" t="n">
        <f aca="false">D52-C52</f>
        <v>0</v>
      </c>
      <c r="F52" s="21" t="s">
        <v>268</v>
      </c>
    </row>
    <row r="53" customFormat="false" ht="15" hidden="false" customHeight="false" outlineLevel="0" collapsed="false">
      <c r="B53" s="55" t="s">
        <v>269</v>
      </c>
      <c r="C53" s="56" t="n">
        <v>0</v>
      </c>
      <c r="D53" s="56" t="n">
        <f aca="false">D52*Parámetros!$B$8</f>
        <v>16800</v>
      </c>
      <c r="E53" s="56" t="n">
        <f aca="false">D53-C53</f>
        <v>16800</v>
      </c>
      <c r="F53" s="21" t="s">
        <v>270</v>
      </c>
    </row>
    <row r="54" customFormat="false" ht="15" hidden="false" customHeight="false" outlineLevel="0" collapsed="false">
      <c r="B54" s="55" t="s">
        <v>271</v>
      </c>
      <c r="C54" s="56" t="n">
        <f aca="false">C52+C53</f>
        <v>420000</v>
      </c>
      <c r="D54" s="56" t="n">
        <f aca="false">D52+D53</f>
        <v>436800</v>
      </c>
      <c r="E54" s="56" t="n">
        <f aca="false">D54-C54</f>
        <v>16800</v>
      </c>
      <c r="F54" s="21" t="s">
        <v>272</v>
      </c>
    </row>
    <row r="56" customFormat="false" ht="15" hidden="false" customHeight="false" outlineLevel="0" collapsed="false">
      <c r="B56" s="11" t="s">
        <v>273</v>
      </c>
      <c r="D56" s="58" t="n">
        <f aca="false">D52*(1-Parámetros!$B$9)</f>
        <v>378000</v>
      </c>
    </row>
    <row r="57" customFormat="false" ht="15" hidden="false" customHeight="false" outlineLevel="0" collapsed="false">
      <c r="B57" s="11" t="s">
        <v>274</v>
      </c>
      <c r="D57" s="58" t="n">
        <f aca="false">D52*(1+Parámetros!$B$9)</f>
        <v>462000</v>
      </c>
    </row>
    <row r="58" customFormat="false" ht="15" hidden="false" customHeight="false" outlineLevel="0" collapsed="false">
      <c r="B58" s="11" t="s">
        <v>275</v>
      </c>
      <c r="D58" s="10" t="str">
        <f aca="false">IF(AND(ABS(D50-G41)&lt;0.5,ABS(P41)&lt;0.5),"OK","REVISAR")</f>
        <v>OK</v>
      </c>
    </row>
    <row r="59" customFormat="false" ht="15" hidden="false" customHeight="false" outlineLevel="0" collapsed="false">
      <c r="B59" s="11" t="s">
        <v>276</v>
      </c>
      <c r="D59" s="10" t="str">
        <f aca="false">IF(ABS(D50-C50)&lt;0.5,"OK","REVISAR")</f>
        <v>OK</v>
      </c>
    </row>
    <row r="61" customFormat="false" ht="15" hidden="false" customHeight="false" outlineLevel="0" collapsed="false">
      <c r="B61" s="59" t="s">
        <v>277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10" min="2" style="1" width="12"/>
  </cols>
  <sheetData>
    <row r="1" customFormat="false" ht="17.35" hidden="false" customHeight="false" outlineLevel="0" collapsed="false">
      <c r="A1" s="2" t="s">
        <v>278</v>
      </c>
    </row>
    <row r="2" customFormat="false" ht="15" hidden="false" customHeight="false" outlineLevel="0" collapsed="false">
      <c r="A2" s="3" t="s">
        <v>279</v>
      </c>
    </row>
    <row r="4" customFormat="false" ht="24" hidden="false" customHeight="true" outlineLevel="0" collapsed="false">
      <c r="A4" s="14" t="s">
        <v>232</v>
      </c>
      <c r="B4" s="48" t="n">
        <f aca="false">Presupuesto!H5</f>
        <v>46296</v>
      </c>
      <c r="C4" s="48" t="n">
        <f aca="false">Presupuesto!I5</f>
        <v>46327</v>
      </c>
      <c r="D4" s="48" t="n">
        <f aca="false">Presupuesto!J5</f>
        <v>46357</v>
      </c>
      <c r="E4" s="48" t="n">
        <f aca="false">Presupuesto!K5</f>
        <v>46388</v>
      </c>
      <c r="F4" s="48" t="n">
        <f aca="false">Presupuesto!L5</f>
        <v>46419</v>
      </c>
      <c r="G4" s="48" t="n">
        <f aca="false">Presupuesto!M5</f>
        <v>46447</v>
      </c>
      <c r="H4" s="48" t="n">
        <f aca="false">Presupuesto!N5</f>
        <v>46478</v>
      </c>
      <c r="I4" s="48" t="n">
        <f aca="false">Presupuesto!O5</f>
        <v>46508</v>
      </c>
      <c r="J4" s="14" t="s">
        <v>280</v>
      </c>
    </row>
    <row r="5" customFormat="false" ht="15" hidden="false" customHeight="false" outlineLevel="0" collapsed="false">
      <c r="A5" s="5" t="s">
        <v>281</v>
      </c>
      <c r="B5" s="60" t="n">
        <f aca="false">Presupuesto!H41</f>
        <v>175571.330520959</v>
      </c>
      <c r="C5" s="60" t="n">
        <f aca="false">Presupuesto!I41</f>
        <v>85768.4442581843</v>
      </c>
      <c r="D5" s="60" t="n">
        <f aca="false">Presupuesto!J41</f>
        <v>43502.0649478395</v>
      </c>
      <c r="E5" s="60" t="n">
        <f aca="false">Presupuesto!K41</f>
        <v>19168.7316145061</v>
      </c>
      <c r="F5" s="60" t="n">
        <f aca="false">Presupuesto!L41</f>
        <v>5956.85845305551</v>
      </c>
      <c r="G5" s="60" t="n">
        <f aca="false">Presupuesto!M41</f>
        <v>20171.5477064601</v>
      </c>
      <c r="H5" s="60" t="n">
        <f aca="false">Presupuesto!N41</f>
        <v>47861.0224989956</v>
      </c>
      <c r="I5" s="60" t="n">
        <f aca="false">Presupuesto!O41</f>
        <v>0</v>
      </c>
      <c r="J5" s="61" t="n">
        <f aca="false">SUM(B5:I5)</f>
        <v>398000</v>
      </c>
    </row>
    <row r="6" customFormat="false" ht="15" hidden="false" customHeight="false" outlineLevel="0" collapsed="false">
      <c r="A6" s="5" t="s">
        <v>282</v>
      </c>
      <c r="B6" s="51" t="n">
        <f aca="false">B5</f>
        <v>175571.330520959</v>
      </c>
      <c r="C6" s="51" t="n">
        <f aca="false">B6+C5</f>
        <v>261339.774779143</v>
      </c>
      <c r="D6" s="51" t="n">
        <f aca="false">C6+D5</f>
        <v>304841.839726983</v>
      </c>
      <c r="E6" s="51" t="n">
        <f aca="false">D6+E5</f>
        <v>324010.571341489</v>
      </c>
      <c r="F6" s="51" t="n">
        <f aca="false">E6+F5</f>
        <v>329967.429794544</v>
      </c>
      <c r="G6" s="51" t="n">
        <f aca="false">F6+G5</f>
        <v>350138.977501004</v>
      </c>
      <c r="H6" s="51" t="n">
        <f aca="false">G6+H5</f>
        <v>398000</v>
      </c>
      <c r="I6" s="51" t="n">
        <f aca="false">H6+I5</f>
        <v>398000</v>
      </c>
      <c r="J6" s="41"/>
    </row>
    <row r="7" customFormat="false" ht="15" hidden="false" customHeight="false" outlineLevel="0" collapsed="false">
      <c r="A7" s="5" t="s">
        <v>283</v>
      </c>
      <c r="B7" s="51" t="n">
        <f aca="false">IF($J$5=0,0,Parámetros!$B$7*B5/$J$5)</f>
        <v>9704.94791824396</v>
      </c>
      <c r="C7" s="51" t="n">
        <f aca="false">IF($J$5=0,0,Parámetros!$B$7*C5/$J$5)</f>
        <v>4740.96928060315</v>
      </c>
      <c r="D7" s="51" t="n">
        <f aca="false">IF($J$5=0,0,Parámetros!$B$7*D5/$J$5)</f>
        <v>2404.63675591072</v>
      </c>
      <c r="E7" s="51" t="n">
        <f aca="false">IF($J$5=0,0,Parámetros!$B$7*E5/$J$5)</f>
        <v>1059.57812944506</v>
      </c>
      <c r="F7" s="51" t="n">
        <f aca="false">IF($J$5=0,0,Parámetros!$B$7*F5/$J$5)</f>
        <v>329.273582832214</v>
      </c>
      <c r="G7" s="51" t="n">
        <f aca="false">IF($J$5=0,0,Parámetros!$B$7*G5/$J$5)</f>
        <v>1115.01017472895</v>
      </c>
      <c r="H7" s="51" t="n">
        <f aca="false">IF($J$5=0,0,Parámetros!$B$7*H5/$J$5)</f>
        <v>2645.58415823594</v>
      </c>
      <c r="I7" s="51" t="n">
        <f aca="false">IF($J$5=0,0,Parámetros!$B$7*I5/$J$5)</f>
        <v>0</v>
      </c>
      <c r="J7" s="61" t="n">
        <f aca="false">SUM(B7:I7)</f>
        <v>22000</v>
      </c>
    </row>
    <row r="8" customFormat="false" ht="15" hidden="false" customHeight="false" outlineLevel="0" collapsed="false">
      <c r="A8" s="31" t="s">
        <v>284</v>
      </c>
      <c r="B8" s="61" t="n">
        <f aca="false">B5+B7</f>
        <v>185276.278439203</v>
      </c>
      <c r="C8" s="61" t="n">
        <f aca="false">C5+C7</f>
        <v>90509.4135387874</v>
      </c>
      <c r="D8" s="61" t="n">
        <f aca="false">D5+D7</f>
        <v>45906.7017037502</v>
      </c>
      <c r="E8" s="61" t="n">
        <f aca="false">E5+E7</f>
        <v>20228.3097439512</v>
      </c>
      <c r="F8" s="61" t="n">
        <f aca="false">F5+F7</f>
        <v>6286.13203588773</v>
      </c>
      <c r="G8" s="61" t="n">
        <f aca="false">G5+G7</f>
        <v>21286.5578811891</v>
      </c>
      <c r="H8" s="61" t="n">
        <f aca="false">H5+H7</f>
        <v>50506.6066572315</v>
      </c>
      <c r="I8" s="61" t="n">
        <f aca="false">I5+I7</f>
        <v>0</v>
      </c>
      <c r="J8" s="61" t="n">
        <f aca="false">SUM(B8:I8)</f>
        <v>420000</v>
      </c>
    </row>
    <row r="9" customFormat="false" ht="15" hidden="false" customHeight="false" outlineLevel="0" collapsed="false">
      <c r="A9" s="31" t="s">
        <v>285</v>
      </c>
      <c r="B9" s="61" t="n">
        <f aca="false">B8</f>
        <v>185276.278439203</v>
      </c>
      <c r="C9" s="61" t="n">
        <f aca="false">B9+C8</f>
        <v>275785.69197799</v>
      </c>
      <c r="D9" s="61" t="n">
        <f aca="false">C9+D8</f>
        <v>321692.393681741</v>
      </c>
      <c r="E9" s="61" t="n">
        <f aca="false">D9+E8</f>
        <v>341920.703425692</v>
      </c>
      <c r="F9" s="61" t="n">
        <f aca="false">E9+F8</f>
        <v>348206.835461579</v>
      </c>
      <c r="G9" s="61" t="n">
        <f aca="false">F9+G8</f>
        <v>369493.393342769</v>
      </c>
      <c r="H9" s="61" t="n">
        <f aca="false">G9+H8</f>
        <v>420000</v>
      </c>
      <c r="I9" s="61" t="n">
        <f aca="false">H9+I8</f>
        <v>420000</v>
      </c>
      <c r="J9" s="41"/>
    </row>
    <row r="10" customFormat="false" ht="15" hidden="false" customHeight="false" outlineLevel="0" collapsed="false">
      <c r="A10" s="5" t="s">
        <v>286</v>
      </c>
      <c r="B10" s="62" t="n">
        <f aca="false">IF($J$8=0,0,B9/$J$8)</f>
        <v>0.441133996283816</v>
      </c>
      <c r="C10" s="62" t="n">
        <f aca="false">IF($J$8=0,0,C9/$J$8)</f>
        <v>0.656632599947596</v>
      </c>
      <c r="D10" s="62" t="n">
        <f aca="false">IF($J$8=0,0,D9/$J$8)</f>
        <v>0.765934270670811</v>
      </c>
      <c r="E10" s="62" t="n">
        <f aca="false">IF($J$8=0,0,E9/$J$8)</f>
        <v>0.814096912918314</v>
      </c>
      <c r="F10" s="62" t="n">
        <f aca="false">IF($J$8=0,0,F9/$J$8)</f>
        <v>0.829063893956142</v>
      </c>
      <c r="G10" s="62" t="n">
        <f aca="false">IF($J$8=0,0,G9/$J$8)</f>
        <v>0.879746174625639</v>
      </c>
      <c r="H10" s="62" t="n">
        <f aca="false">IF($J$8=0,0,H9/$J$8)</f>
        <v>1</v>
      </c>
      <c r="I10" s="62" t="n">
        <f aca="false">IF($J$8=0,0,I9/$J$8)</f>
        <v>1</v>
      </c>
      <c r="J10" s="4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2026-10-02T16:04:13Z</dcterms:created>
  <dc:creator>openpyxl</dc:creator>
  <dc:description/>
  <dc:language>en-US</dc:language>
  <cp:lastModifiedBy/>
  <dcterms:modified xsi:type="dcterms:W3CDTF">2026-10-03T19:49:02Z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