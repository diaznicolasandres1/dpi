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6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sumen" sheetId="1" state="visible" r:id="rId3"/>
    <sheet name="Tareas" sheetId="2" state="visible" r:id="rId4"/>
    <sheet name="Costos" sheetId="3" state="visible" r:id="rId5"/>
    <sheet name="Partidas" sheetId="4" state="visible" r:id="rId6"/>
    <sheet name="Presupuesto" sheetId="5" state="visible" r:id="rId7"/>
    <sheet name="Curva S" sheetId="6" state="visible" r:id="rId8"/>
    <sheet name="Carga de recursos" sheetId="7" state="visible" r:id="rId9"/>
    <sheet name="Recursos" sheetId="8" state="visible" r:id="rId10"/>
    <sheet name="Parámetros" sheetId="9" state="visible" r:id="rId11"/>
    <sheet name="Calendario" sheetId="10" state="visible" r:id="rId12"/>
  </sheets>
  <definedNames>
    <definedName function="false" hidden="false" name="Autorizado" vbProcedure="false">Parámetros!$B$10</definedName>
    <definedName function="false" hidden="false" name="Contingencia" vbProcedure="false">Parámetros!$B$7</definedName>
    <definedName function="false" hidden="false" name="CostoBaseN1" vbProcedure="false">Parámetros!$B$11</definedName>
    <definedName function="false" hidden="false" name="DiasMes" vbProcedure="false">Parámetros!$B$16</definedName>
    <definedName function="false" hidden="false" name="Feriados" vbProcedure="false">Parámetros!$A$22:$A$33</definedName>
    <definedName function="false" hidden="false" name="FF_5x" vbProcedure="false">Parámetros!$B$14</definedName>
    <definedName function="false" hidden="false" name="FinRed" vbProcedure="false">Tareas!$D$3</definedName>
    <definedName function="false" hidden="false" name="HorasUAT" vbProcedure="false">Parámetros!$B$18</definedName>
    <definedName function="false" hidden="false" name="InicioProyecto" vbProcedure="false">Parámetros!$B$4</definedName>
    <definedName function="false" hidden="false" name="LAG_54" vbProcedure="false">Parámetros!$B$15</definedName>
    <definedName function="false" hidden="false" name="PctRG" vbProcedure="false">Parámetros!$B$8</definedName>
    <definedName function="false" hidden="false" name="SS_23" vbProcedure="false">Parámetros!$B$12</definedName>
    <definedName function="false" hidden="false" name="SS_35" vbProcedure="false">Parámetros!$B$13</definedName>
    <definedName function="false" hidden="false" name="Tolerancia" vbProcedure="false">Parámetros!$B$9</definedName>
    <definedName function="false" hidden="false" name="UsuariosUAT" vbProcedure="false">Parámetros!$B$17</definedName>
    <definedName function="false" hidden="false" name="VentanaDesde" vbProcedure="false">Parámetros!$B$5</definedName>
    <definedName function="false" hidden="false" name="VentanaHasta" vbProcedure="false">Parámetros!$B$6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<sst xmlns="http://schemas.openxmlformats.org/spreadsheetml/2006/main" count="739" uniqueCount="387">
  <si>
    <t xml:space="preserve">WKH-2026 · Entrega N2 — Resumen y controles de consistencia</t>
  </si>
  <si>
    <t xml:space="preserve">Implementación de la plataforma WorkHub, sede Catalinas · Grupo 1 · Docente: Mag. Ezequiel Pietracupa</t>
  </si>
  <si>
    <t xml:space="preserve">Indicador</t>
  </si>
  <si>
    <t xml:space="preserve">Valor</t>
  </si>
  <si>
    <t xml:space="preserve">Nota</t>
  </si>
  <si>
    <t xml:space="preserve">Duración de la red (días hábiles)</t>
  </si>
  <si>
    <t xml:space="preserve">La red incluye la ventana de balances como actividad R-3.</t>
  </si>
  <si>
    <t xml:space="preserve">Duración del calendario (días hábiles, H-0 a fin del plan)</t>
  </si>
  <si>
    <t xml:space="preserve">Debe coincidir con la duración de la red.</t>
  </si>
  <si>
    <t xml:space="preserve">Control: red = calendario</t>
  </si>
  <si>
    <t xml:space="preserve">Fin del plan</t>
  </si>
  <si>
    <t xml:space="preserve">H-7: 30/04/2027.</t>
  </si>
  <si>
    <t xml:space="preserve">Duración de la tarea 1.5 (listado = Gantt = AON)</t>
  </si>
  <si>
    <t xml:space="preserve">Una sola celda alimenta las tres vistas.</t>
  </si>
  <si>
    <t xml:space="preserve">Tareas del listado (incluye 1.5 y 1.6)</t>
  </si>
  <si>
    <t xml:space="preserve">31 paquetes de trabajo de la EDT ↔ 31 tareas. R-3 es la restricción externa.</t>
  </si>
  <si>
    <t xml:space="preserve">Tareas críticas (holgura 0)</t>
  </si>
  <si>
    <t xml:space="preserve">R-3 → 5.3 → 5.4 → (5.5 y 5.6) → 1.6.</t>
  </si>
  <si>
    <t xml:space="preserve">Holgura de la ruta previa a la ventana (piloto 5.2), días hábiles</t>
  </si>
  <si>
    <t xml:space="preserve">Es la holgura contra el inicio de la ventana (01/01): ruta sensible.</t>
  </si>
  <si>
    <t xml:space="preserve">Holgura de la cadena de desarrollo (2.9), días hábiles</t>
  </si>
  <si>
    <t xml:space="preserve">Colchón que genera la restricción de balances.</t>
  </si>
  <si>
    <t xml:space="preserve">Costo base ascendente (USD)</t>
  </si>
  <si>
    <t xml:space="preserve">Costo base descendente N1 (USD)</t>
  </si>
  <si>
    <t xml:space="preserve">Diferencia ascendente − descendente</t>
  </si>
  <si>
    <t xml:space="preserve">Se informa tal cual: la ascendente no se ajusta a la descendente.</t>
  </si>
  <si>
    <t xml:space="preserve">Línea base de costos (USD)</t>
  </si>
  <si>
    <t xml:space="preserve">Costo base ascendente + contingencia.</t>
  </si>
  <si>
    <t xml:space="preserve">Reserva de gestión (USD)</t>
  </si>
  <si>
    <t xml:space="preserve">Presupuesto del proyecto (USD)</t>
  </si>
  <si>
    <t xml:space="preserve">Presupuesto autorizado en el Acta (USD)</t>
  </si>
  <si>
    <t xml:space="preserve">Control: carga de recursos</t>
  </si>
  <si>
    <t xml:space="preserve">Ningún recurso supera su capacidad.</t>
  </si>
  <si>
    <t xml:space="preserve">Control: costos</t>
  </si>
  <si>
    <t xml:space="preserve">Distribución mensual y suma por tarea.</t>
  </si>
  <si>
    <t xml:space="preserve">Hitos del Acta frente al plan</t>
  </si>
  <si>
    <t xml:space="preserve">Hito</t>
  </si>
  <si>
    <t xml:space="preserve">Descripción</t>
  </si>
  <si>
    <t xml:space="preserve">Tarea(s) que lo determinan</t>
  </si>
  <si>
    <t xml:space="preserve">Fecha del Acta</t>
  </si>
  <si>
    <t xml:space="preserve">Fecha del plan</t>
  </si>
  <si>
    <t xml:space="preserve">Margen (días corridos)</t>
  </si>
  <si>
    <t xml:space="preserve">Estado</t>
  </si>
  <si>
    <t xml:space="preserve">H-0</t>
  </si>
  <si>
    <t xml:space="preserve">Kick-off y firma del Acta</t>
  </si>
  <si>
    <t xml:space="preserve">1.1 (inicio)</t>
  </si>
  <si>
    <t xml:space="preserve">H-1</t>
  </si>
  <si>
    <t xml:space="preserve">Alcance y EDT ratificados; línea base confirmada</t>
  </si>
  <si>
    <t xml:space="preserve">1.2 y 1.3</t>
  </si>
  <si>
    <t xml:space="preserve">H-2</t>
  </si>
  <si>
    <t xml:space="preserve">Diseño UX/UI y reglas validados; inventario cargado</t>
  </si>
  <si>
    <t xml:space="preserve">2.1, 2.2 y 2.7</t>
  </si>
  <si>
    <t xml:space="preserve">H-3</t>
  </si>
  <si>
    <t xml:space="preserve">Piloto de la planta 3 completado</t>
  </si>
  <si>
    <t xml:space="preserve">5.2</t>
  </si>
  <si>
    <t xml:space="preserve">H-4</t>
  </si>
  <si>
    <t xml:space="preserve">Notificaciones completas; pruebas de seguridad, integración y carga</t>
  </si>
  <si>
    <t xml:space="preserve">2.6, 3.4 y 3.5</t>
  </si>
  <si>
    <t xml:space="preserve">H-5</t>
  </si>
  <si>
    <t xml:space="preserve">UAT ≥ 9,0/10 y acta de aceptación</t>
  </si>
  <si>
    <t xml:space="preserve">5.3</t>
  </si>
  <si>
    <t xml:space="preserve">H-6</t>
  </si>
  <si>
    <t xml:space="preserve">Puesta en producción en las cuatro plantas</t>
  </si>
  <si>
    <t xml:space="preserve">5.4 (inicio)</t>
  </si>
  <si>
    <t xml:space="preserve">H-7</t>
  </si>
  <si>
    <t xml:space="preserve">Cierre, estabilización, tablero e informe entregados</t>
  </si>
  <si>
    <t xml:space="preserve">5.4, 5.5, 5.6 y 1.6</t>
  </si>
  <si>
    <t xml:space="preserve">Varios hitos del Acta (H-1, H-2, H-3, H-5) caen en sábado; el plan los cumple con el último día hábil anterior.</t>
  </si>
  <si>
    <t xml:space="preserve">WKH-2026 · Listado de tareas, red de actividades (CPM) y diagrama de Gantt</t>
  </si>
  <si>
    <t xml:space="preserve">Duraciones en días hábiles. ES/EF/LS/LF en días hábiles desde H-0 (EF = ES + duración). Las fechas salen de la hoja Calendario. R-3 representa la ventana de balances dentro de la red; la tarea 1.5 es un esfuerzo continuo (LOE) hasta el cierre y no determina el camino crítico.</t>
  </si>
  <si>
    <t xml:space="preserve">Fin de la red (días hábiles)</t>
  </si>
  <si>
    <t xml:space="preserve">Semana (lunes)</t>
  </si>
  <si>
    <t xml:space="preserve">ID</t>
  </si>
  <si>
    <t xml:space="preserve">Tarea</t>
  </si>
  <si>
    <t xml:space="preserve">Responsable</t>
  </si>
  <si>
    <t xml:space="preserve">Dur. (d háb.)</t>
  </si>
  <si>
    <t xml:space="preserve">Predecesoras</t>
  </si>
  <si>
    <t xml:space="preserve">Inicio no antes de</t>
  </si>
  <si>
    <t xml:space="preserve">ES</t>
  </si>
  <si>
    <t xml:space="preserve">EF</t>
  </si>
  <si>
    <t xml:space="preserve">LS</t>
  </si>
  <si>
    <t xml:space="preserve">LF</t>
  </si>
  <si>
    <t xml:space="preserve">Holgura</t>
  </si>
  <si>
    <t xml:space="preserve">Crítica</t>
  </si>
  <si>
    <t xml:space="preserve">Inicio</t>
  </si>
  <si>
    <t xml:space="preserve">Fin</t>
  </si>
  <si>
    <t xml:space="preserve">1.1</t>
  </si>
  <si>
    <t xml:space="preserve">Acta de constitución</t>
  </si>
  <si>
    <t xml:space="preserve">PM</t>
  </si>
  <si>
    <t xml:space="preserve">—</t>
  </si>
  <si>
    <t xml:space="preserve">1.2</t>
  </si>
  <si>
    <t xml:space="preserve">Declaración del alcance y EDT</t>
  </si>
  <si>
    <t xml:space="preserve">1.3</t>
  </si>
  <si>
    <t xml:space="preserve">Cronograma, presupuesto y línea base</t>
  </si>
  <si>
    <t xml:space="preserve">1.4</t>
  </si>
  <si>
    <t xml:space="preserve">Registro de riesgos e interesados</t>
  </si>
  <si>
    <t xml:space="preserve">1.5</t>
  </si>
  <si>
    <t xml:space="preserve">Seguimiento, cambios e informes (tarea resumen)</t>
  </si>
  <si>
    <t xml:space="preserve">1.2, 1.3, 1.4 (hasta el cierre)</t>
  </si>
  <si>
    <t xml:space="preserve">LOE</t>
  </si>
  <si>
    <t xml:space="preserve">1.6</t>
  </si>
  <si>
    <t xml:space="preserve">Cierre y lecciones aprendidas</t>
  </si>
  <si>
    <t xml:space="preserve">5.5 (FF+0), 5.6 (FF+0)</t>
  </si>
  <si>
    <t xml:space="preserve">2.1</t>
  </si>
  <si>
    <t xml:space="preserve">Relevamiento y reglas de negocio</t>
  </si>
  <si>
    <t xml:space="preserve">PO</t>
  </si>
  <si>
    <t xml:space="preserve">2.2</t>
  </si>
  <si>
    <t xml:space="preserve">Planos e inventario de espacios</t>
  </si>
  <si>
    <t xml:space="preserve">SG VCA</t>
  </si>
  <si>
    <t xml:space="preserve">2.3</t>
  </si>
  <si>
    <t xml:space="preserve">Módulo de reserva de escritorios</t>
  </si>
  <si>
    <t xml:space="preserve">Desarrollo</t>
  </si>
  <si>
    <t xml:space="preserve">2.1 (SS+5)</t>
  </si>
  <si>
    <t xml:space="preserve">2.4</t>
  </si>
  <si>
    <t xml:space="preserve">Módulo de reserva de salas</t>
  </si>
  <si>
    <t xml:space="preserve">2.5</t>
  </si>
  <si>
    <t xml:space="preserve">Check-in, check-out y liberación</t>
  </si>
  <si>
    <t xml:space="preserve">2.6</t>
  </si>
  <si>
    <t xml:space="preserve">Notificaciones y sugerencias</t>
  </si>
  <si>
    <t xml:space="preserve">2.5, 3.2</t>
  </si>
  <si>
    <t xml:space="preserve">2.7</t>
  </si>
  <si>
    <t xml:space="preserve">Diseño UX</t>
  </si>
  <si>
    <t xml:space="preserve">UX/UI</t>
  </si>
  <si>
    <t xml:space="preserve">2.8</t>
  </si>
  <si>
    <t xml:space="preserve">Implementación bot de Teams</t>
  </si>
  <si>
    <t xml:space="preserve">2.7, 3.3</t>
  </si>
  <si>
    <t xml:space="preserve">2.9</t>
  </si>
  <si>
    <t xml:space="preserve">Configuración web</t>
  </si>
  <si>
    <t xml:space="preserve">2.6, 2.7</t>
  </si>
  <si>
    <t xml:space="preserve">3.1</t>
  </si>
  <si>
    <t xml:space="preserve">SSO y SCIM con Entra ID</t>
  </si>
  <si>
    <t xml:space="preserve">Integraciones + Tec. VCA</t>
  </si>
  <si>
    <t xml:space="preserve">3.2</t>
  </si>
  <si>
    <t xml:space="preserve">Sincronización con HRIS</t>
  </si>
  <si>
    <t xml:space="preserve">3.3</t>
  </si>
  <si>
    <t xml:space="preserve">Exchange, Outlook y Teams</t>
  </si>
  <si>
    <t xml:space="preserve">3.4</t>
  </si>
  <si>
    <t xml:space="preserve">Seguridad y endurecimiento</t>
  </si>
  <si>
    <t xml:space="preserve">QA</t>
  </si>
  <si>
    <t xml:space="preserve">3.2, 3.3</t>
  </si>
  <si>
    <t xml:space="preserve">3.5</t>
  </si>
  <si>
    <t xml:space="preserve">Pruebas de integración y carga</t>
  </si>
  <si>
    <t xml:space="preserve">3.4, 2.6 (SS+10)</t>
  </si>
  <si>
    <t xml:space="preserve">4.1</t>
  </si>
  <si>
    <t xml:space="preserve">Impacto e interesados con RR.HH.</t>
  </si>
  <si>
    <t xml:space="preserve">Gest. del cambio + RR.HH.</t>
  </si>
  <si>
    <t xml:space="preserve">4.2</t>
  </si>
  <si>
    <t xml:space="preserve">Política de trabajo flexible</t>
  </si>
  <si>
    <t xml:space="preserve">4.3</t>
  </si>
  <si>
    <t xml:space="preserve">Comunicación y lanzamiento</t>
  </si>
  <si>
    <t xml:space="preserve">4.4</t>
  </si>
  <si>
    <t xml:space="preserve">Referentes y capacitación</t>
  </si>
  <si>
    <t xml:space="preserve">4.5</t>
  </si>
  <si>
    <t xml:space="preserve">Materiales y mesa de ayuda N1</t>
  </si>
  <si>
    <t xml:space="preserve">5.1</t>
  </si>
  <si>
    <t xml:space="preserve">Ambientes, migración y despliegue</t>
  </si>
  <si>
    <t xml:space="preserve">DevOps</t>
  </si>
  <si>
    <t xml:space="preserve">Piloto y ajustes</t>
  </si>
  <si>
    <t xml:space="preserve">2.2, 2.3, 2.4, 2.7, 3.1, 4.2, 5.1</t>
  </si>
  <si>
    <t xml:space="preserve">R-3</t>
  </si>
  <si>
    <t xml:space="preserve">Ventana de balances de VCA (restricción R-3 de la N1)</t>
  </si>
  <si>
    <t xml:space="preserve">VCA (restricción externa)</t>
  </si>
  <si>
    <t xml:space="preserve">UAT y acta de aceptación</t>
  </si>
  <si>
    <t xml:space="preserve">QA + PO</t>
  </si>
  <si>
    <t xml:space="preserve">R-3, 2.8, 2.9, 3.5, 4.5</t>
  </si>
  <si>
    <t xml:space="preserve">5.4</t>
  </si>
  <si>
    <t xml:space="preserve">Go-live y estabilización (4 semanas)</t>
  </si>
  <si>
    <t xml:space="preserve">PM + equipo</t>
  </si>
  <si>
    <t xml:space="preserve">5.3 (FS+4), 4.3</t>
  </si>
  <si>
    <t xml:space="preserve">5.5</t>
  </si>
  <si>
    <t xml:space="preserve">Tablero y transferencia del seguimiento</t>
  </si>
  <si>
    <t xml:space="preserve">PO + VCA</t>
  </si>
  <si>
    <t xml:space="preserve">5.4 (FF+2)</t>
  </si>
  <si>
    <t xml:space="preserve">5.6</t>
  </si>
  <si>
    <t xml:space="preserve">Informe de ocupación y recomendación</t>
  </si>
  <si>
    <t xml:space="preserve">Serv. Generales VCA</t>
  </si>
  <si>
    <t xml:space="preserve">Leyenda</t>
  </si>
  <si>
    <t xml:space="preserve">Camino crítico (holgura 0)</t>
  </si>
  <si>
    <t xml:space="preserve">Tarea con holgura</t>
  </si>
  <si>
    <t xml:space="preserve">Ventana de balances (R-3)</t>
  </si>
  <si>
    <t xml:space="preserve">Tarea resumen (LOE)</t>
  </si>
  <si>
    <t xml:space="preserve">Nota: la duración de 1.5 se calcula como (fin de la red − su inicio) y es la misma en el listado, en el Gantt y en el diagrama AON. La holgura de las tareas previas a R-3 se mide contra el inicio de la ventana (01/01): el piloto no puede deslizar hacia dentro de la ventana.</t>
  </si>
  <si>
    <t xml:space="preserve">Base de cálculo del costo de cada tarea: recurso × tarifa × días</t>
  </si>
  <si>
    <t xml:space="preserve">Costo = unidades (FTE) × duración de la tarea × tarifa diaria. La duración se toma de la hoja Tareas; la tarifa, de la hoja Recursos. Ninguna cifra se ajusta para igualar un total.</t>
  </si>
  <si>
    <t xml:space="preserve">Rol</t>
  </si>
  <si>
    <t xml:space="preserve">Recurso</t>
  </si>
  <si>
    <t xml:space="preserve">Unidades (FTE)</t>
  </si>
  <si>
    <t xml:space="preserve">Duración (d háb.)</t>
  </si>
  <si>
    <t xml:space="preserve">Días-persona</t>
  </si>
  <si>
    <t xml:space="preserve">Tarifa USD/día</t>
  </si>
  <si>
    <t xml:space="preserve">Costo USD</t>
  </si>
  <si>
    <t xml:space="preserve">Línea de costo (N1)</t>
  </si>
  <si>
    <t xml:space="preserve">RH</t>
  </si>
  <si>
    <t xml:space="preserve">SG</t>
  </si>
  <si>
    <t xml:space="preserve">OPS</t>
  </si>
  <si>
    <t xml:space="preserve">DEV</t>
  </si>
  <si>
    <t xml:space="preserve">UX</t>
  </si>
  <si>
    <t xml:space="preserve">INT</t>
  </si>
  <si>
    <t xml:space="preserve">TEC</t>
  </si>
  <si>
    <t xml:space="preserve">CAM</t>
  </si>
  <si>
    <t xml:space="preserve">USR</t>
  </si>
  <si>
    <t xml:space="preserve">Total mano de obra</t>
  </si>
  <si>
    <t xml:space="preserve">Partidas no laborales: cantidad × precio unitario</t>
  </si>
  <si>
    <t xml:space="preserve">Cada partida tiene su base unitaria y el período en que se devenga. Los precios son supuestos de simulación a validar con cotizaciones (excepto la licencia, derivada de la N1).</t>
  </si>
  <si>
    <t xml:space="preserve">Concepto</t>
  </si>
  <si>
    <t xml:space="preserve">Cantidad</t>
  </si>
  <si>
    <t xml:space="preserve">Unidad</t>
  </si>
  <si>
    <t xml:space="preserve">Precio unitario USD</t>
  </si>
  <si>
    <t xml:space="preserve">Devenga desde (inicio de tarea)</t>
  </si>
  <si>
    <t xml:space="preserve">Hasta (fin de tarea)</t>
  </si>
  <si>
    <t xml:space="preserve">P-1</t>
  </si>
  <si>
    <t xml:space="preserve">Licencia WorkHub, 1.200 usuarios nominados (primer año de soporte incluido)</t>
  </si>
  <si>
    <t xml:space="preserve">Licencia</t>
  </si>
  <si>
    <t xml:space="preserve">usuarios</t>
  </si>
  <si>
    <t xml:space="preserve">Cotización de licenciante: USD 108.000 / 1.200 usuarios (N1).</t>
  </si>
  <si>
    <t xml:space="preserve">P-2a</t>
  </si>
  <si>
    <t xml:space="preserve">Entorno de desarrollo (Azure Brasil Sur)</t>
  </si>
  <si>
    <t xml:space="preserve">Ambientes</t>
  </si>
  <si>
    <t xml:space="preserve">meses</t>
  </si>
  <si>
    <t xml:space="preserve">Supuesto de simulación a validar con cotización de VCA.</t>
  </si>
  <si>
    <t xml:space="preserve">P-2b</t>
  </si>
  <si>
    <t xml:space="preserve">Entorno de QA / staging</t>
  </si>
  <si>
    <t xml:space="preserve">Ídem.</t>
  </si>
  <si>
    <t xml:space="preserve">P-2c</t>
  </si>
  <si>
    <t xml:space="preserve">Entorno de producción (alineado al hosting anual de N1: USD 5.060 / 12)</t>
  </si>
  <si>
    <t xml:space="preserve">Ídem; desde preproducción de marzo.</t>
  </si>
  <si>
    <t xml:space="preserve">P-2d</t>
  </si>
  <si>
    <t xml:space="preserve">Observabilidad y logs (APM)</t>
  </si>
  <si>
    <t xml:space="preserve">P-2e</t>
  </si>
  <si>
    <t xml:space="preserve">Herramientas de soporte del equipo (CI/CD, backlog, bóveda de secretos)</t>
  </si>
  <si>
    <t xml:space="preserve">usuario-mes</t>
  </si>
  <si>
    <t xml:space="preserve">6 usuarios x 7 meses.</t>
  </si>
  <si>
    <t xml:space="preserve">P-3a</t>
  </si>
  <si>
    <t xml:space="preserve">Piezas de la campaña de lanzamiento (diseño y producción)</t>
  </si>
  <si>
    <t xml:space="preserve">Gestión del cambio</t>
  </si>
  <si>
    <t xml:space="preserve">piezas</t>
  </si>
  <si>
    <t xml:space="preserve">Supuesto de simulación.</t>
  </si>
  <si>
    <t xml:space="preserve">P-3b</t>
  </si>
  <si>
    <t xml:space="preserve">Materiales de capacitación (video-tutoriales y guías)</t>
  </si>
  <si>
    <t xml:space="preserve">materiales</t>
  </si>
  <si>
    <t xml:space="preserve">P-3c</t>
  </si>
  <si>
    <t xml:space="preserve">Sesiones de capacitación a 1.200 colaboradores (logística)</t>
  </si>
  <si>
    <t xml:space="preserve">sesiones</t>
  </si>
  <si>
    <t xml:space="preserve">Ídem; los referentes capacitados replican.</t>
  </si>
  <si>
    <t xml:space="preserve">P-3d</t>
  </si>
  <si>
    <t xml:space="preserve">Encuestas de intención de uso y pulso</t>
  </si>
  <si>
    <t xml:space="preserve">servicio</t>
  </si>
  <si>
    <t xml:space="preserve">P-4a</t>
  </si>
  <si>
    <t xml:space="preserve">Prueba de intrusión externa (requisito RA-2)</t>
  </si>
  <si>
    <t xml:space="preserve">Integraciones</t>
  </si>
  <si>
    <t xml:space="preserve">P-4b</t>
  </si>
  <si>
    <t xml:space="preserve">Entornos sandbox de conectores (HRIS y Exchange)</t>
  </si>
  <si>
    <t xml:space="preserve">conectores</t>
  </si>
  <si>
    <t xml:space="preserve">Total partidas</t>
  </si>
  <si>
    <t xml:space="preserve">P-1 se devenga íntegra a la firma del Acta (H-0). El resto se distribuye linealmente por día hábil entre las fechas indicadas.</t>
  </si>
  <si>
    <t xml:space="preserve">Presupuesto preliminar y línea base de costos</t>
  </si>
  <si>
    <t xml:space="preserve">La estimación ascendente (tarea por tarea) se compara con la descendente de la N1 sin ajustarla. Montos en USD.</t>
  </si>
  <si>
    <t xml:space="preserve">A. Conciliación de la estimación ascendente con la descendente de la N1</t>
  </si>
  <si>
    <t xml:space="preserve">Línea de costo</t>
  </si>
  <si>
    <t xml:space="preserve">N1 (descendente)</t>
  </si>
  <si>
    <t xml:space="preserve">N2 mano de obra</t>
  </si>
  <si>
    <t xml:space="preserve">N2 partidas no laborales</t>
  </si>
  <si>
    <t xml:space="preserve">N2 total (ascendente)</t>
  </si>
  <si>
    <t xml:space="preserve">Diferencia</t>
  </si>
  <si>
    <t xml:space="preserve">Diferencia %</t>
  </si>
  <si>
    <t xml:space="preserve">Equipo Tandem</t>
  </si>
  <si>
    <t xml:space="preserve">Horas VCA</t>
  </si>
  <si>
    <t xml:space="preserve">Costo base de actividades</t>
  </si>
  <si>
    <t xml:space="preserve">Control: N1 = costo base declarado (USD 398.000)</t>
  </si>
  <si>
    <t xml:space="preserve">¿La ascendente valida a la descendente? (|dif.| ≤ tolerancia)</t>
  </si>
  <si>
    <t xml:space="preserve">B. Línea base de costos, reservas y presupuesto del proyecto</t>
  </si>
  <si>
    <t xml:space="preserve">USD</t>
  </si>
  <si>
    <t xml:space="preserve">Costo base de actividades (ascendente)</t>
  </si>
  <si>
    <t xml:space="preserve">Suma de mano de obra y partidas no laborales; no se iguala a la N1.</t>
  </si>
  <si>
    <t xml:space="preserve">Reserva para contingencias</t>
  </si>
  <si>
    <t xml:space="preserve">Dentro de la línea base. Respuesta a riesgos identificados; la autoriza el PM hasta USD 5.000 por evento.</t>
  </si>
  <si>
    <t xml:space="preserve">Línea base de costos</t>
  </si>
  <si>
    <t xml:space="preserve">Referencia para medir el desempeño (EVM, N4).</t>
  </si>
  <si>
    <t xml:space="preserve">Reserva de gestión (fuera de la línea base)</t>
  </si>
  <si>
    <t xml:space="preserve">Trabajo imprevisto dentro del alcance; la administra el Comité y se libera por solicitud de cambio.</t>
  </si>
  <si>
    <t xml:space="preserve">Presupuesto del proyecto</t>
  </si>
  <si>
    <t xml:space="preserve">Línea base + reserva de gestión.</t>
  </si>
  <si>
    <t xml:space="preserve">Presupuesto autorizado en el Acta (N1)</t>
  </si>
  <si>
    <t xml:space="preserve">Techo de autorización hasta la ratificación en H-1.</t>
  </si>
  <si>
    <t xml:space="preserve">Margen autorizado sin asignar</t>
  </si>
  <si>
    <t xml:space="preserve">No se gasta ni se redistribuye sin solicitud de cambio.</t>
  </si>
  <si>
    <t xml:space="preserve">Banda de tolerancia — límite inferior</t>
  </si>
  <si>
    <t xml:space="preserve">Referencia de variación, no obligación de gasto.</t>
  </si>
  <si>
    <t xml:space="preserve">Banda de tolerancia — límite superior</t>
  </si>
  <si>
    <t xml:space="preserve">Superarlo exige una nueva línea base aprobada por el Comité.</t>
  </si>
  <si>
    <t xml:space="preserve">Control: la línea base está dentro de la banda</t>
  </si>
  <si>
    <t xml:space="preserve">C. Costo por tarea y distribución mensual de la línea base</t>
  </si>
  <si>
    <t xml:space="preserve">(fin de mes)</t>
  </si>
  <si>
    <t xml:space="preserve">Total actividades</t>
  </si>
  <si>
    <t xml:space="preserve">Contingencia prorrateada (según gasto mensual)</t>
  </si>
  <si>
    <t xml:space="preserve">Línea base mensual</t>
  </si>
  <si>
    <t xml:space="preserve">Línea base acumulada</t>
  </si>
  <si>
    <t xml:space="preserve">Avance acumulado (%)</t>
  </si>
  <si>
    <t xml:space="preserve">Control: distribución mensual = línea base</t>
  </si>
  <si>
    <t xml:space="preserve">Control: costo por tarea + partidas = costo base ascendente</t>
  </si>
  <si>
    <t xml:space="preserve">La licencia (P-1) se paga a la firma, por eso el primer mes concentra buena parte de la línea base. La contingencia se prorratea según el gasto mensual (simplificación).</t>
  </si>
  <si>
    <t xml:space="preserve">Curva S de la línea base de costos</t>
  </si>
  <si>
    <t xml:space="preserve">Mes</t>
  </si>
  <si>
    <t xml:space="preserve">Avance acumulado</t>
  </si>
  <si>
    <t xml:space="preserve">Carga diaria de cada recurso frente a su capacidad</t>
  </si>
  <si>
    <t xml:space="preserve">Suma de las unidades asignadas a las tareas activas cada día hábil. Debe ser ≤ capacidad: así se verifica con qué recursos se ejecuta el plan sin sobreasignar a nadie.</t>
  </si>
  <si>
    <t xml:space="preserve">Capacidad (FTE)</t>
  </si>
  <si>
    <t xml:space="preserve">Índice</t>
  </si>
  <si>
    <t xml:space="preserve">Fecha</t>
  </si>
  <si>
    <t xml:space="preserve">Carga máxima</t>
  </si>
  <si>
    <t xml:space="preserve">Control</t>
  </si>
  <si>
    <t xml:space="preserve">RR.HH.: capacidad 0,5 FTE hasta el 31/12/2026 y 1,0 FTE desde el 01/01/2027 (restricción R-6, meses 4 a 7).</t>
  </si>
  <si>
    <t xml:space="preserve">Recursos, tarifas y capacidad</t>
  </si>
  <si>
    <t xml:space="preserve">Tarifas de venta de Tandem: supuesto de mercado regional (USD por día hábil), a validar contra la lista de precios del contrato. Los recursos de VCA se valorizan a costo interno cargado. Las categorías corresponden a las líneas del costo base de la N1.</t>
  </si>
  <si>
    <t xml:space="preserve">Código</t>
  </si>
  <si>
    <t xml:space="preserve">Observación</t>
  </si>
  <si>
    <t xml:space="preserve">Project Manager (Tandem)</t>
  </si>
  <si>
    <t xml:space="preserve">Dedicado; responsable de la línea base.</t>
  </si>
  <si>
    <t xml:space="preserve">Product Owner (Tandem)</t>
  </si>
  <si>
    <t xml:space="preserve">Carolina Méndez.</t>
  </si>
  <si>
    <t xml:space="preserve">Diseñador/a UX/UI (Tandem)</t>
  </si>
  <si>
    <t xml:space="preserve">Diseño y revisión de interfaces.</t>
  </si>
  <si>
    <t xml:space="preserve">Desarrollador/a full-stack (Tandem)</t>
  </si>
  <si>
    <t xml:space="preserve">2 desarrolladores full-stack (N1).</t>
  </si>
  <si>
    <t xml:space="preserve">Especialista QA (Tandem)</t>
  </si>
  <si>
    <t xml:space="preserve">Especialista QA (N1).</t>
  </si>
  <si>
    <t xml:space="preserve">Ingeniero/a de integraciones (Tandem)</t>
  </si>
  <si>
    <t xml:space="preserve">Especialistas de integración de Tandem (línea Integraciones de la N1); equipo de 2.</t>
  </si>
  <si>
    <t xml:space="preserve">Ingeniero/a DevOps (Tandem)</t>
  </si>
  <si>
    <t xml:space="preserve">Ambientes, migración y despliegue.</t>
  </si>
  <si>
    <t xml:space="preserve">Consultor/a de gestión del cambio (Tandem)</t>
  </si>
  <si>
    <t xml:space="preserve">Consultor/a de cambio; complementa al referente de RR.HH.</t>
  </si>
  <si>
    <t xml:space="preserve">Tecnología VCA (P. Guzmán)</t>
  </si>
  <si>
    <t xml:space="preserve">Pablo Guzmán; máximo 0,5 FTE (R-6).</t>
  </si>
  <si>
    <t xml:space="preserve">Servicios Generales VCA (D. Sosa)</t>
  </si>
  <si>
    <t xml:space="preserve">Damián Sosa; máximo 0,5 FTE (R-6).</t>
  </si>
  <si>
    <t xml:space="preserve">RR.HH. VCA (S. Ibarra / referente)</t>
  </si>
  <si>
    <t xml:space="preserve">Soledad Ibarra / referente; 0,5 FTE hasta dic-26 y 1,0 FTE de ene a abr-27 (R-6).</t>
  </si>
  <si>
    <t xml:space="preserve">Usuarios de prueba UAT (VCA)</t>
  </si>
  <si>
    <t xml:space="preserve">120 colaboradores de VCA en sesiones de prueba.</t>
  </si>
  <si>
    <t xml:space="preserve">Parámetros del modelo — WKH-2026 · Entrega N2</t>
  </si>
  <si>
    <t xml:space="preserve">Azul = dato de entrada editable · negro = fórmula · verde = vínculo a otra hoja. Todo el modelo se recalcula desde estas celdas, las hojas Tareas y Costos.</t>
  </si>
  <si>
    <t xml:space="preserve">Parámetro</t>
  </si>
  <si>
    <t xml:space="preserve">Fuente / nota</t>
  </si>
  <si>
    <t xml:space="preserve">Inicio del proyecto (H-0, firma del Acta)</t>
  </si>
  <si>
    <t xml:space="preserve">Acta de constitución, hito H-0 (N1).</t>
  </si>
  <si>
    <t xml:space="preserve">Ventana de cierre de balances de VCA — desde</t>
  </si>
  <si>
    <t xml:space="preserve">Restricción R-3 de la N1: sin despliegue masivo ni capacitación.</t>
  </si>
  <si>
    <t xml:space="preserve">Ventana de cierre de balances de VCA — hasta</t>
  </si>
  <si>
    <t xml:space="preserve">Ídem. La UAT puede empezar el 16/03.</t>
  </si>
  <si>
    <t xml:space="preserve">Reserva para contingencias (USD)</t>
  </si>
  <si>
    <t xml:space="preserve">Definida en la N1 (5,5 % del costo base descendente). Cubre riesgos identificados; se detalla en el registro de riesgos (N3/N4).</t>
  </si>
  <si>
    <t xml:space="preserve">Reserva de gestión (% sobre la línea base)</t>
  </si>
  <si>
    <t xml:space="preserve">PMBOK 7. Fuera de la línea base; la libera el Comité de Inversiones mediante solicitud de cambio.</t>
  </si>
  <si>
    <t xml:space="preserve">Tolerancia de control (±)</t>
  </si>
  <si>
    <t xml:space="preserve">Acta (N1), OP-1 y R-1. Es un margen de desvío, no una reserva.</t>
  </si>
  <si>
    <t xml:space="preserve">Acta de constitución (N1): techo de autorización y base de la banda de tolerancia hasta la ratificación en H-1.</t>
  </si>
  <si>
    <t xml:space="preserve">Costo base descendente de la N1 (USD)</t>
  </si>
  <si>
    <t xml:space="preserve">N1, sección 4.3: USD 398.000 de conceptos base + USD 22.000 de contingencia = USD 420.000.</t>
  </si>
  <si>
    <t xml:space="preserve">Solape 2.1 → 2.3: inicio a inicio (días hábiles)</t>
  </si>
  <si>
    <t xml:space="preserve">Fast-tracking: el módulo de escritorios arranca con las reglas de reserva ya relevadas (primera semana de 2.1).</t>
  </si>
  <si>
    <t xml:space="preserve">Solape 2.6 → 3.5: inicio a inicio (días hábiles)</t>
  </si>
  <si>
    <t xml:space="preserve">Las pruebas de integración y carga arrancan con 10 días de avance de notificaciones.</t>
  </si>
  <si>
    <t xml:space="preserve">Solape 5.4 → 5.5 y 5.6: fin a fin (días hábiles)</t>
  </si>
  <si>
    <t xml:space="preserve">Tablero e informe se cierran 2 días después de terminar la estabilización.</t>
  </si>
  <si>
    <t xml:space="preserve">Desfase 5.3 → 5.4: final a inicio (días hábiles)</t>
  </si>
  <si>
    <t xml:space="preserve">Correcciones post-UAT, capacitación masiva a usuarios y ensayo de corte; 24, 25 y 26/03 no son laborables. Go-live el 31/03.</t>
  </si>
  <si>
    <t xml:space="preserve">Días hábiles por persona-mes</t>
  </si>
  <si>
    <t xml:space="preserve">Convención para convertir días-persona en persona-meses.</t>
  </si>
  <si>
    <t xml:space="preserve">Usuarios de prueba UAT (colaboradores de VCA)</t>
  </si>
  <si>
    <t xml:space="preserve">Muestra mínima del criterio de aceptación RA-1.</t>
  </si>
  <si>
    <t xml:space="preserve">Horas por usuario de prueba</t>
  </si>
  <si>
    <t xml:space="preserve">Supuesto: una sesión guiada de 90 minutos.</t>
  </si>
  <si>
    <t xml:space="preserve">Feriados y días no laborables (excluidos del calendario)</t>
  </si>
  <si>
    <t xml:space="preserve">Día del Respeto a la Diversidad Cultural</t>
  </si>
  <si>
    <t xml:space="preserve">Día de la Soberanía Nacional (trasladado)</t>
  </si>
  <si>
    <t xml:space="preserve">Día no laborable con fines turísticos (puente)</t>
  </si>
  <si>
    <t xml:space="preserve">Inmaculada Concepción de María</t>
  </si>
  <si>
    <t xml:space="preserve">Navidad</t>
  </si>
  <si>
    <t xml:space="preserve">Año Nuevo</t>
  </si>
  <si>
    <t xml:space="preserve">Carnaval</t>
  </si>
  <si>
    <t xml:space="preserve">Día de la Memoria</t>
  </si>
  <si>
    <t xml:space="preserve">Jueves Santo (no laborable)</t>
  </si>
  <si>
    <t xml:space="preserve">Viernes Santo</t>
  </si>
  <si>
    <t xml:space="preserve">Día del Veterano y de los Caídos en Malvinas</t>
  </si>
  <si>
    <t xml:space="preserve">Supuesto: los feriados y traslados 2026-2027 se cargaron manualmente y deben validarse contra el calendario oficial y el de VCA. Para agregar uno, insertar una fila dentro del rango.</t>
  </si>
  <si>
    <t xml:space="preserve">Calendario laboral del proyecto (lunes a viernes sin feriados). Índice 0 = H-0.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</si>
</sst>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0"/>
    <numFmt numFmtId="166" formatCode="dd/mm/yyyy"/>
    <numFmt numFmtId="167" formatCode="#,##0;\(#,##0\);\-"/>
    <numFmt numFmtId="168" formatCode="0.0%"/>
    <numFmt numFmtId="169" formatCode="dd/mm"/>
    <numFmt numFmtId="170" formatCode="0.00"/>
    <numFmt numFmtId="171" formatCode="0.0"/>
    <numFmt numFmtId="172" formatCode="#,##0"/>
    <numFmt numFmtId="173" formatCode="mmm\-yy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23B5E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7A33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8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123B5E"/>
        <bgColor rgb="FF333399"/>
      </patternFill>
    </fill>
    <fill>
      <patternFill patternType="solid">
        <fgColor rgb="FFFFF2CC"/>
        <bgColor rgb="FFFFFFFF"/>
      </patternFill>
    </fill>
    <fill>
      <patternFill patternType="solid">
        <fgColor rgb="FFC2185B"/>
        <bgColor rgb="FF993366"/>
      </patternFill>
    </fill>
    <fill>
      <patternFill patternType="solid">
        <fgColor rgb="FF2F75B5"/>
        <bgColor rgb="FF4A7EBB"/>
      </patternFill>
    </fill>
    <fill>
      <patternFill patternType="solid">
        <fgColor rgb="FFF4B183"/>
        <bgColor rgb="FFFF99CC"/>
      </patternFill>
    </fill>
    <fill>
      <patternFill patternType="solid">
        <fgColor rgb="FFBFBFBF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1" fillId="0" borderId="0" xfId="0" applyFont="true" applyBorder="false" applyAlignment="true" applyProtection="false">
      <alignment horizontal="center" vertical="bottom" textRotation="9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>
          <bgColor rgb="FFF4B183"/>
        </patternFill>
      </fill>
    </dxf>
    <dxf>
      <fill>
        <patternFill>
          <bgColor rgb="FFBFBFBF"/>
        </patternFill>
      </fill>
    </dxf>
    <dxf>
      <fill>
        <patternFill>
          <bgColor rgb="FFC2185B"/>
        </patternFill>
      </fill>
    </dxf>
    <dxf>
      <fill>
        <patternFill>
          <bgColor rgb="FF2F75B5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7A33"/>
      <rgbColor rgb="FF000080"/>
      <rgbColor rgb="FF808000"/>
      <rgbColor rgb="FF800080"/>
      <rgbColor rgb="FF008080"/>
      <rgbColor rgb="FFBFBFBF"/>
      <rgbColor rgb="FF878787"/>
      <rgbColor rgb="FF9999FF"/>
      <rgbColor rgb="FFC2185B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4B183"/>
      <rgbColor rgb="FF2F75B5"/>
      <rgbColor rgb="FF33CCCC"/>
      <rgbColor rgb="FF99CC00"/>
      <rgbColor rgb="FFFFCC00"/>
      <rgbColor rgb="FFFF9900"/>
      <rgbColor rgb="FFFF6600"/>
      <rgbColor rgb="FF4A7EBB"/>
      <rgbColor rgb="FF969696"/>
      <rgbColor rgb="FF123B5E"/>
      <rgbColor rgb="FF339966"/>
      <rgbColor rgb="FF003300"/>
      <rgbColor rgb="FF333300"/>
      <rgbColor rgb="FF993300"/>
      <rgbColor rgb="FF993366"/>
      <rgbColor rgb="FF333399"/>
      <rgbColor rgb="FF5555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Línea base acumulada (USD)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'Curva S'!C3</c:f>
              <c:strCache>
                <c:ptCount val="1"/>
                <c:pt idx="0">
                  <c:v>Línea base acumulada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'Curva S'!$A$4:$A$10</c:f>
              <c:strCache>
                <c:ptCount val="7"/>
                <c:pt idx="0">
                  <c:v>Oct-26</c:v>
                </c:pt>
                <c:pt idx="1">
                  <c:v>Nov-26</c:v>
                </c:pt>
                <c:pt idx="2">
                  <c:v>Dec-26</c:v>
                </c:pt>
                <c:pt idx="3">
                  <c:v>Jan-27</c:v>
                </c:pt>
                <c:pt idx="4">
                  <c:v>Feb-27</c:v>
                </c:pt>
                <c:pt idx="5">
                  <c:v>Mar-27</c:v>
                </c:pt>
                <c:pt idx="6">
                  <c:v>Apr-27</c:v>
                </c:pt>
              </c:strCache>
            </c:strRef>
          </c:cat>
          <c:val>
            <c:numRef>
              <c:f>'Curva S'!$C$4:$C$10</c:f>
              <c:numCache>
                <c:formatCode>#,##0;\(#,##0\);\-</c:formatCode>
                <c:ptCount val="7"/>
                <c:pt idx="0">
                  <c:v>168230.802192843</c:v>
                </c:pt>
                <c:pt idx="1">
                  <c:v>248568.090596685</c:v>
                </c:pt>
                <c:pt idx="2">
                  <c:v>298982.715366603</c:v>
                </c:pt>
                <c:pt idx="3">
                  <c:v>314538.351137325</c:v>
                </c:pt>
                <c:pt idx="4">
                  <c:v>320412.072432129</c:v>
                </c:pt>
                <c:pt idx="5">
                  <c:v>348119.38871606</c:v>
                </c:pt>
                <c:pt idx="6">
                  <c:v>394700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59439922"/>
        <c:axId val="46281032"/>
      </c:lineChart>
      <c:catAx>
        <c:axId val="59439922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6281032"/>
        <c:crosses val="autoZero"/>
        <c:auto val="1"/>
        <c:lblAlgn val="ctr"/>
        <c:lblOffset val="100"/>
        <c:noMultiLvlLbl val="0"/>
      </c:catAx>
      <c:valAx>
        <c:axId val="4628103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;\(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943992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1</xdr:row>
      <xdr:rowOff>160560</xdr:rowOff>
    </xdr:from>
    <xdr:to>
      <xdr:col>15</xdr:col>
      <xdr:colOff>364680</xdr:colOff>
      <xdr:row>16</xdr:row>
      <xdr:rowOff>182520</xdr:rowOff>
    </xdr:to>
    <xdr:graphicFrame>
      <xdr:nvGraphicFramePr>
        <xdr:cNvPr id="0" name="Chart 1"/>
        <xdr:cNvGraphicFramePr/>
      </xdr:nvGraphicFramePr>
      <xdr:xfrm>
        <a:off x="5686560" y="380880"/>
        <a:ext cx="64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46"/>
    <col collapsed="false" customWidth="true" hidden="false" outlineLevel="0" max="3" min="3" style="0" width="28"/>
    <col collapsed="false" customWidth="true" hidden="false" outlineLevel="0" max="5" min="4" style="0" width="14"/>
    <col collapsed="false" customWidth="true" hidden="false" outlineLevel="0" max="6" min="6" style="0" width="16"/>
    <col collapsed="false" customWidth="true" hidden="false" outlineLevel="0" max="7" min="7" style="0" width="1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</row>
    <row r="5" customFormat="false" ht="15" hidden="false" customHeight="false" outlineLevel="0" collapsed="false">
      <c r="A5" s="4" t="s">
        <v>5</v>
      </c>
      <c r="B5" s="5" t="n">
        <f aca="false">FinRed</f>
        <v>140</v>
      </c>
      <c r="C5" s="6" t="s">
        <v>6</v>
      </c>
    </row>
    <row r="6" customFormat="false" ht="15" hidden="false" customHeight="false" outlineLevel="0" collapsed="false">
      <c r="A6" s="4" t="s">
        <v>7</v>
      </c>
      <c r="B6" s="5" t="n">
        <f aca="false">NETWORKDAYS(InicioProyecto,Tareas!N11,Feriados)</f>
        <v>140</v>
      </c>
      <c r="C6" s="6" t="s">
        <v>8</v>
      </c>
    </row>
    <row r="7" customFormat="false" ht="15" hidden="false" customHeight="false" outlineLevel="0" collapsed="false">
      <c r="A7" s="4" t="s">
        <v>9</v>
      </c>
      <c r="B7" s="7" t="str">
        <f aca="false">IF(B5=B6,"OK","REVISAR")</f>
        <v>OK</v>
      </c>
      <c r="C7" s="6"/>
    </row>
    <row r="8" customFormat="false" ht="15" hidden="false" customHeight="false" outlineLevel="0" collapsed="false">
      <c r="A8" s="4" t="s">
        <v>10</v>
      </c>
      <c r="B8" s="8" t="n">
        <f aca="false">Tareas!N11</f>
        <v>46507</v>
      </c>
      <c r="C8" s="6" t="s">
        <v>11</v>
      </c>
    </row>
    <row r="9" customFormat="false" ht="15" hidden="false" customHeight="false" outlineLevel="0" collapsed="false">
      <c r="A9" s="4" t="s">
        <v>12</v>
      </c>
      <c r="B9" s="5" t="n">
        <f aca="false">Tareas!D10</f>
        <v>132</v>
      </c>
      <c r="C9" s="6" t="s">
        <v>13</v>
      </c>
    </row>
    <row r="10" customFormat="false" ht="15" hidden="false" customHeight="false" outlineLevel="0" collapsed="false">
      <c r="A10" s="4" t="s">
        <v>14</v>
      </c>
      <c r="B10" s="5" t="n">
        <f aca="false">COUNTIF(Tareas!A6:A37,"&lt;&gt;R-3")</f>
        <v>31</v>
      </c>
      <c r="C10" s="6" t="s">
        <v>15</v>
      </c>
    </row>
    <row r="11" customFormat="false" ht="15" hidden="false" customHeight="false" outlineLevel="0" collapsed="false">
      <c r="A11" s="4" t="s">
        <v>16</v>
      </c>
      <c r="B11" s="5" t="n">
        <f aca="false">COUNTIF(Tareas!L6:L37,"Sí")</f>
        <v>6</v>
      </c>
      <c r="C11" s="6" t="s">
        <v>17</v>
      </c>
    </row>
    <row r="12" customFormat="false" ht="15" hidden="false" customHeight="false" outlineLevel="0" collapsed="false">
      <c r="A12" s="4" t="s">
        <v>18</v>
      </c>
      <c r="B12" s="5" t="n">
        <f aca="false">Tareas!K32</f>
        <v>8</v>
      </c>
      <c r="C12" s="6" t="s">
        <v>19</v>
      </c>
    </row>
    <row r="13" customFormat="false" ht="15" hidden="false" customHeight="false" outlineLevel="0" collapsed="false">
      <c r="A13" s="4" t="s">
        <v>20</v>
      </c>
      <c r="B13" s="5" t="n">
        <f aca="false">Tareas!K20</f>
        <v>40</v>
      </c>
      <c r="C13" s="6" t="s">
        <v>21</v>
      </c>
    </row>
    <row r="15" customFormat="false" ht="15" hidden="false" customHeight="false" outlineLevel="0" collapsed="false">
      <c r="A15" s="4" t="s">
        <v>22</v>
      </c>
      <c r="B15" s="9" t="n">
        <f aca="false">Presupuesto!B18</f>
        <v>372700</v>
      </c>
      <c r="C15" s="6"/>
    </row>
    <row r="16" customFormat="false" ht="15" hidden="false" customHeight="false" outlineLevel="0" collapsed="false">
      <c r="A16" s="4" t="s">
        <v>23</v>
      </c>
      <c r="B16" s="9" t="n">
        <f aca="false">CostoBaseN1</f>
        <v>398000</v>
      </c>
      <c r="C16" s="6"/>
    </row>
    <row r="17" customFormat="false" ht="15" hidden="false" customHeight="false" outlineLevel="0" collapsed="false">
      <c r="A17" s="4" t="s">
        <v>24</v>
      </c>
      <c r="B17" s="10" t="n">
        <f aca="false">Presupuesto!G12</f>
        <v>-0.0635678391959799</v>
      </c>
      <c r="C17" s="6" t="s">
        <v>25</v>
      </c>
    </row>
    <row r="18" customFormat="false" ht="15" hidden="false" customHeight="false" outlineLevel="0" collapsed="false">
      <c r="A18" s="4" t="s">
        <v>26</v>
      </c>
      <c r="B18" s="9" t="n">
        <f aca="false">Presupuesto!B20</f>
        <v>394700</v>
      </c>
      <c r="C18" s="6" t="s">
        <v>27</v>
      </c>
    </row>
    <row r="19" customFormat="false" ht="15" hidden="false" customHeight="false" outlineLevel="0" collapsed="false">
      <c r="A19" s="4" t="s">
        <v>28</v>
      </c>
      <c r="B19" s="9" t="n">
        <f aca="false">Presupuesto!B21</f>
        <v>15788</v>
      </c>
      <c r="C19" s="6"/>
    </row>
    <row r="20" customFormat="false" ht="15" hidden="false" customHeight="false" outlineLevel="0" collapsed="false">
      <c r="A20" s="4" t="s">
        <v>29</v>
      </c>
      <c r="B20" s="9" t="n">
        <f aca="false">Presupuesto!B22</f>
        <v>410488</v>
      </c>
      <c r="C20" s="6"/>
    </row>
    <row r="21" customFormat="false" ht="15" hidden="false" customHeight="false" outlineLevel="0" collapsed="false">
      <c r="A21" s="4" t="s">
        <v>30</v>
      </c>
      <c r="B21" s="9" t="n">
        <f aca="false">Autorizado</f>
        <v>420000</v>
      </c>
      <c r="C21" s="6"/>
    </row>
    <row r="22" customFormat="false" ht="15" hidden="false" customHeight="false" outlineLevel="0" collapsed="false">
      <c r="A22" s="4" t="s">
        <v>31</v>
      </c>
      <c r="B22" s="7" t="str">
        <f aca="false">IF(COUNTIF('Carga de recursos'!C148:N148,"SOBRECARGA")=0,"OK","REVISAR")</f>
        <v>OK</v>
      </c>
      <c r="C22" s="6" t="s">
        <v>32</v>
      </c>
    </row>
    <row r="23" customFormat="false" ht="15" hidden="false" customHeight="false" outlineLevel="0" collapsed="false">
      <c r="A23" s="4" t="s">
        <v>33</v>
      </c>
      <c r="B23" s="7" t="str">
        <f aca="false">IF(AND(Presupuesto!C81="OK",Presupuesto!C82="OK"),"OK","REVISAR")</f>
        <v>OK</v>
      </c>
      <c r="C23" s="6" t="s">
        <v>34</v>
      </c>
    </row>
    <row r="25" customFormat="false" ht="15" hidden="false" customHeight="false" outlineLevel="0" collapsed="false">
      <c r="A25" s="11" t="s">
        <v>35</v>
      </c>
    </row>
    <row r="26" customFormat="false" ht="23.85" hidden="false" customHeight="false" outlineLevel="0" collapsed="false">
      <c r="A26" s="3" t="s">
        <v>36</v>
      </c>
      <c r="B26" s="3" t="s">
        <v>37</v>
      </c>
      <c r="C26" s="3" t="s">
        <v>38</v>
      </c>
      <c r="D26" s="3" t="s">
        <v>39</v>
      </c>
      <c r="E26" s="3" t="s">
        <v>40</v>
      </c>
      <c r="F26" s="3" t="s">
        <v>41</v>
      </c>
      <c r="G26" s="3" t="s">
        <v>42</v>
      </c>
    </row>
    <row r="27" customFormat="false" ht="15" hidden="false" customHeight="false" outlineLevel="0" collapsed="false">
      <c r="A27" s="7" t="s">
        <v>43</v>
      </c>
      <c r="B27" s="4" t="s">
        <v>44</v>
      </c>
      <c r="C27" s="4" t="s">
        <v>45</v>
      </c>
      <c r="D27" s="12" t="n">
        <v>46296</v>
      </c>
      <c r="E27" s="8" t="n">
        <f aca="false">Tareas!M6</f>
        <v>46296</v>
      </c>
      <c r="F27" s="13" t="n">
        <f aca="false">D27-E27</f>
        <v>0</v>
      </c>
      <c r="G27" s="7" t="str">
        <f aca="false">IF(E27&lt;=D27,"Cumple","Desvío")</f>
        <v>Cumple</v>
      </c>
    </row>
    <row r="28" customFormat="false" ht="15" hidden="false" customHeight="false" outlineLevel="0" collapsed="false">
      <c r="A28" s="7" t="s">
        <v>46</v>
      </c>
      <c r="B28" s="4" t="s">
        <v>47</v>
      </c>
      <c r="C28" s="4" t="s">
        <v>48</v>
      </c>
      <c r="D28" s="12" t="n">
        <v>46312</v>
      </c>
      <c r="E28" s="8" t="n">
        <f aca="false">MAX(Tareas!N7,Tareas!N8)</f>
        <v>46308</v>
      </c>
      <c r="F28" s="13" t="n">
        <f aca="false">D28-E28</f>
        <v>4</v>
      </c>
      <c r="G28" s="7" t="str">
        <f aca="false">IF(E28&lt;=D28,"Cumple","Desvío")</f>
        <v>Cumple</v>
      </c>
    </row>
    <row r="29" customFormat="false" ht="15" hidden="false" customHeight="false" outlineLevel="0" collapsed="false">
      <c r="A29" s="7" t="s">
        <v>49</v>
      </c>
      <c r="B29" s="4" t="s">
        <v>50</v>
      </c>
      <c r="C29" s="4" t="s">
        <v>51</v>
      </c>
      <c r="D29" s="12" t="n">
        <v>46347</v>
      </c>
      <c r="E29" s="8" t="n">
        <f aca="false">MAX(Tareas!N12,Tareas!N13,Tareas!N18)</f>
        <v>46343</v>
      </c>
      <c r="F29" s="13" t="n">
        <f aca="false">D29-E29</f>
        <v>4</v>
      </c>
      <c r="G29" s="7" t="str">
        <f aca="false">IF(E29&lt;=D29,"Cumple","Desvío")</f>
        <v>Cumple</v>
      </c>
    </row>
    <row r="30" customFormat="false" ht="15" hidden="false" customHeight="false" outlineLevel="0" collapsed="false">
      <c r="A30" s="7" t="s">
        <v>52</v>
      </c>
      <c r="B30" s="4" t="s">
        <v>53</v>
      </c>
      <c r="C30" s="4" t="s">
        <v>54</v>
      </c>
      <c r="D30" s="12" t="n">
        <v>46375</v>
      </c>
      <c r="E30" s="8" t="n">
        <f aca="false">Tareas!N32</f>
        <v>46374</v>
      </c>
      <c r="F30" s="13" t="n">
        <f aca="false">D30-E30</f>
        <v>1</v>
      </c>
      <c r="G30" s="7" t="str">
        <f aca="false">IF(E30&lt;=D30,"Cumple","Desvío")</f>
        <v>Cumple</v>
      </c>
    </row>
    <row r="31" customFormat="false" ht="15" hidden="false" customHeight="false" outlineLevel="0" collapsed="false">
      <c r="A31" s="7" t="s">
        <v>55</v>
      </c>
      <c r="B31" s="4" t="s">
        <v>56</v>
      </c>
      <c r="C31" s="4" t="s">
        <v>57</v>
      </c>
      <c r="D31" s="12" t="n">
        <v>46445</v>
      </c>
      <c r="E31" s="8" t="n">
        <f aca="false">MAX(Tareas!N17,Tareas!N24,Tareas!N25)</f>
        <v>46394</v>
      </c>
      <c r="F31" s="13" t="n">
        <f aca="false">D31-E31</f>
        <v>51</v>
      </c>
      <c r="G31" s="7" t="str">
        <f aca="false">IF(E31&lt;=D31,"Cumple","Desvío")</f>
        <v>Cumple</v>
      </c>
    </row>
    <row r="32" customFormat="false" ht="15" hidden="false" customHeight="false" outlineLevel="0" collapsed="false">
      <c r="A32" s="7" t="s">
        <v>58</v>
      </c>
      <c r="B32" s="4" t="s">
        <v>59</v>
      </c>
      <c r="C32" s="4" t="s">
        <v>60</v>
      </c>
      <c r="D32" s="12" t="n">
        <v>46466</v>
      </c>
      <c r="E32" s="8" t="n">
        <f aca="false">Tareas!N34</f>
        <v>46465</v>
      </c>
      <c r="F32" s="13" t="n">
        <f aca="false">D32-E32</f>
        <v>1</v>
      </c>
      <c r="G32" s="7" t="str">
        <f aca="false">IF(E32&lt;=D32,"Cumple","Desvío")</f>
        <v>Cumple</v>
      </c>
    </row>
    <row r="33" customFormat="false" ht="15" hidden="false" customHeight="false" outlineLevel="0" collapsed="false">
      <c r="A33" s="7" t="s">
        <v>61</v>
      </c>
      <c r="B33" s="4" t="s">
        <v>62</v>
      </c>
      <c r="C33" s="4" t="s">
        <v>63</v>
      </c>
      <c r="D33" s="12" t="n">
        <v>46477</v>
      </c>
      <c r="E33" s="8" t="n">
        <f aca="false">Tareas!M35</f>
        <v>46477</v>
      </c>
      <c r="F33" s="13" t="n">
        <f aca="false">D33-E33</f>
        <v>0</v>
      </c>
      <c r="G33" s="7" t="str">
        <f aca="false">IF(E33&lt;=D33,"Cumple","Desvío")</f>
        <v>Cumple</v>
      </c>
    </row>
    <row r="34" customFormat="false" ht="15" hidden="false" customHeight="false" outlineLevel="0" collapsed="false">
      <c r="A34" s="7" t="s">
        <v>64</v>
      </c>
      <c r="B34" s="4" t="s">
        <v>65</v>
      </c>
      <c r="C34" s="4" t="s">
        <v>66</v>
      </c>
      <c r="D34" s="12" t="n">
        <v>46507</v>
      </c>
      <c r="E34" s="8" t="n">
        <f aca="false">MAX(Tareas!N35,Tareas!N36,Tareas!N37,Tareas!N11)</f>
        <v>46507</v>
      </c>
      <c r="F34" s="13" t="n">
        <f aca="false">D34-E34</f>
        <v>0</v>
      </c>
      <c r="G34" s="7" t="str">
        <f aca="false">IF(E34&lt;=D34,"Cumple","Desvío")</f>
        <v>Cumple</v>
      </c>
    </row>
    <row r="36" customFormat="false" ht="15" hidden="false" customHeight="false" outlineLevel="0" collapsed="false">
      <c r="A36" s="2" t="s">
        <v>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T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46"/>
    <col collapsed="false" customWidth="true" hidden="false" outlineLevel="0" max="3" min="3" style="0" width="25"/>
    <col collapsed="false" customWidth="true" hidden="false" outlineLevel="0" max="4" min="4" style="0" width="9"/>
    <col collapsed="false" customWidth="true" hidden="false" outlineLevel="0" max="5" min="5" style="0" width="34"/>
    <col collapsed="false" customWidth="true" hidden="false" outlineLevel="0" max="6" min="6" style="0" width="12"/>
    <col collapsed="false" customWidth="true" hidden="false" outlineLevel="0" max="10" min="7" style="0" width="6"/>
    <col collapsed="false" customWidth="true" hidden="false" outlineLevel="0" max="12" min="11" style="0" width="8"/>
    <col collapsed="false" customWidth="true" hidden="false" outlineLevel="0" max="14" min="13" style="0" width="12"/>
    <col collapsed="false" customWidth="true" hidden="false" outlineLevel="0" max="46" min="15" style="0" width="3.2"/>
  </cols>
  <sheetData>
    <row r="1" customFormat="false" ht="17.35" hidden="false" customHeight="false" outlineLevel="0" collapsed="false">
      <c r="A1" s="1" t="s">
        <v>68</v>
      </c>
    </row>
    <row r="2" customFormat="false" ht="15" hidden="false" customHeight="false" outlineLevel="0" collapsed="false">
      <c r="A2" s="2" t="s">
        <v>69</v>
      </c>
    </row>
    <row r="3" customFormat="false" ht="15" hidden="false" customHeight="false" outlineLevel="0" collapsed="false">
      <c r="A3" s="11" t="s">
        <v>70</v>
      </c>
      <c r="D3" s="14" t="n">
        <f aca="false">MAX(H6,H7,H8,H9,H11,H12,H13,H14,H15,H16,H17,H18,H19,H20,H21,H22,H23,H24,H25,H26,H27,H28,H29,H30,H31,H32,H33,H34,H35,H36,H37)</f>
        <v>140</v>
      </c>
      <c r="O3" s="2" t="s">
        <v>71</v>
      </c>
    </row>
    <row r="4" customFormat="false" ht="42" hidden="false" customHeight="true" outlineLevel="0" collapsed="false">
      <c r="O4" s="15" t="n">
        <f aca="false">InicioProyecto-WEEKDAY(InicioProyecto,2)+1</f>
        <v>46293</v>
      </c>
      <c r="P4" s="15" t="n">
        <f aca="false">O4+7</f>
        <v>46300</v>
      </c>
      <c r="Q4" s="15" t="n">
        <f aca="false">P4+7</f>
        <v>46307</v>
      </c>
      <c r="R4" s="15" t="n">
        <f aca="false">Q4+7</f>
        <v>46314</v>
      </c>
      <c r="S4" s="15" t="n">
        <f aca="false">R4+7</f>
        <v>46321</v>
      </c>
      <c r="T4" s="15" t="n">
        <f aca="false">S4+7</f>
        <v>46328</v>
      </c>
      <c r="U4" s="15" t="n">
        <f aca="false">T4+7</f>
        <v>46335</v>
      </c>
      <c r="V4" s="15" t="n">
        <f aca="false">U4+7</f>
        <v>46342</v>
      </c>
      <c r="W4" s="15" t="n">
        <f aca="false">V4+7</f>
        <v>46349</v>
      </c>
      <c r="X4" s="15" t="n">
        <f aca="false">W4+7</f>
        <v>46356</v>
      </c>
      <c r="Y4" s="15" t="n">
        <f aca="false">X4+7</f>
        <v>46363</v>
      </c>
      <c r="Z4" s="15" t="n">
        <f aca="false">Y4+7</f>
        <v>46370</v>
      </c>
      <c r="AA4" s="15" t="n">
        <f aca="false">Z4+7</f>
        <v>46377</v>
      </c>
      <c r="AB4" s="15" t="n">
        <f aca="false">AA4+7</f>
        <v>46384</v>
      </c>
      <c r="AC4" s="15" t="n">
        <f aca="false">AB4+7</f>
        <v>46391</v>
      </c>
      <c r="AD4" s="15" t="n">
        <f aca="false">AC4+7</f>
        <v>46398</v>
      </c>
      <c r="AE4" s="15" t="n">
        <f aca="false">AD4+7</f>
        <v>46405</v>
      </c>
      <c r="AF4" s="15" t="n">
        <f aca="false">AE4+7</f>
        <v>46412</v>
      </c>
      <c r="AG4" s="15" t="n">
        <f aca="false">AF4+7</f>
        <v>46419</v>
      </c>
      <c r="AH4" s="15" t="n">
        <f aca="false">AG4+7</f>
        <v>46426</v>
      </c>
      <c r="AI4" s="15" t="n">
        <f aca="false">AH4+7</f>
        <v>46433</v>
      </c>
      <c r="AJ4" s="15" t="n">
        <f aca="false">AI4+7</f>
        <v>46440</v>
      </c>
      <c r="AK4" s="15" t="n">
        <f aca="false">AJ4+7</f>
        <v>46447</v>
      </c>
      <c r="AL4" s="15" t="n">
        <f aca="false">AK4+7</f>
        <v>46454</v>
      </c>
      <c r="AM4" s="15" t="n">
        <f aca="false">AL4+7</f>
        <v>46461</v>
      </c>
      <c r="AN4" s="15" t="n">
        <f aca="false">AM4+7</f>
        <v>46468</v>
      </c>
      <c r="AO4" s="15" t="n">
        <f aca="false">AN4+7</f>
        <v>46475</v>
      </c>
      <c r="AP4" s="15" t="n">
        <f aca="false">AO4+7</f>
        <v>46482</v>
      </c>
      <c r="AQ4" s="15" t="n">
        <f aca="false">AP4+7</f>
        <v>46489</v>
      </c>
      <c r="AR4" s="15" t="n">
        <f aca="false">AQ4+7</f>
        <v>46496</v>
      </c>
      <c r="AS4" s="15" t="n">
        <f aca="false">AR4+7</f>
        <v>46503</v>
      </c>
      <c r="AT4" s="15" t="n">
        <f aca="false">AS4+7</f>
        <v>46510</v>
      </c>
    </row>
    <row r="5" customFormat="false" ht="30" hidden="false" customHeight="true" outlineLevel="0" collapsed="false">
      <c r="A5" s="3" t="s">
        <v>72</v>
      </c>
      <c r="B5" s="3" t="s">
        <v>73</v>
      </c>
      <c r="C5" s="3" t="s">
        <v>74</v>
      </c>
      <c r="D5" s="3" t="s">
        <v>75</v>
      </c>
      <c r="E5" s="3" t="s">
        <v>76</v>
      </c>
      <c r="F5" s="3" t="s">
        <v>77</v>
      </c>
      <c r="G5" s="3" t="s">
        <v>78</v>
      </c>
      <c r="H5" s="3" t="s">
        <v>79</v>
      </c>
      <c r="I5" s="3" t="s">
        <v>80</v>
      </c>
      <c r="J5" s="3" t="s">
        <v>81</v>
      </c>
      <c r="K5" s="3" t="s">
        <v>82</v>
      </c>
      <c r="L5" s="3" t="s">
        <v>83</v>
      </c>
      <c r="M5" s="3" t="s">
        <v>84</v>
      </c>
      <c r="N5" s="3" t="s">
        <v>85</v>
      </c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</row>
    <row r="6" customFormat="false" ht="15" hidden="false" customHeight="false" outlineLevel="0" collapsed="false">
      <c r="A6" s="4" t="s">
        <v>86</v>
      </c>
      <c r="B6" s="4" t="s">
        <v>87</v>
      </c>
      <c r="C6" s="4" t="s">
        <v>88</v>
      </c>
      <c r="D6" s="17" t="n">
        <v>2</v>
      </c>
      <c r="E6" s="4" t="s">
        <v>89</v>
      </c>
      <c r="F6" s="4"/>
      <c r="G6" s="13" t="n">
        <f aca="false">MAX(0)</f>
        <v>0</v>
      </c>
      <c r="H6" s="13" t="n">
        <f aca="false">G6+D6</f>
        <v>2</v>
      </c>
      <c r="I6" s="13" t="n">
        <f aca="false">J6-D6</f>
        <v>8</v>
      </c>
      <c r="J6" s="13" t="n">
        <f aca="false">MIN(I7-0,I8-0,I9-0)</f>
        <v>10</v>
      </c>
      <c r="K6" s="13" t="n">
        <f aca="false">I6-G6</f>
        <v>8</v>
      </c>
      <c r="L6" s="18" t="str">
        <f aca="false">IF(K6=0,"Sí","")</f>
        <v/>
      </c>
      <c r="M6" s="19" t="n">
        <f aca="false">INDEX(Calendario!$B$3:$B$172,G6+1)</f>
        <v>46296</v>
      </c>
      <c r="N6" s="19" t="n">
        <f aca="false">INDEX(Calendario!$B$3:$B$172,H6)</f>
        <v>46297</v>
      </c>
    </row>
    <row r="7" customFormat="false" ht="15" hidden="false" customHeight="false" outlineLevel="0" collapsed="false">
      <c r="A7" s="4" t="s">
        <v>90</v>
      </c>
      <c r="B7" s="4" t="s">
        <v>91</v>
      </c>
      <c r="C7" s="4" t="s">
        <v>88</v>
      </c>
      <c r="D7" s="17" t="n">
        <v>6</v>
      </c>
      <c r="E7" s="4" t="s">
        <v>86</v>
      </c>
      <c r="F7" s="4"/>
      <c r="G7" s="13" t="n">
        <f aca="false">MAX(0,H6+0)</f>
        <v>2</v>
      </c>
      <c r="H7" s="13" t="n">
        <f aca="false">G7+D7</f>
        <v>8</v>
      </c>
      <c r="I7" s="13" t="n">
        <f aca="false">J7-D7</f>
        <v>10</v>
      </c>
      <c r="J7" s="13" t="n">
        <f aca="false">MIN(I12-0,I21-0)</f>
        <v>16</v>
      </c>
      <c r="K7" s="13" t="n">
        <f aca="false">I7-G7</f>
        <v>8</v>
      </c>
      <c r="L7" s="18" t="str">
        <f aca="false">IF(K7=0,"Sí","")</f>
        <v/>
      </c>
      <c r="M7" s="19" t="n">
        <f aca="false">INDEX(Calendario!$B$3:$B$172,G7+1)</f>
        <v>46300</v>
      </c>
      <c r="N7" s="19" t="n">
        <f aca="false">INDEX(Calendario!$B$3:$B$172,H7)</f>
        <v>46308</v>
      </c>
    </row>
    <row r="8" customFormat="false" ht="15" hidden="false" customHeight="false" outlineLevel="0" collapsed="false">
      <c r="A8" s="4" t="s">
        <v>92</v>
      </c>
      <c r="B8" s="4" t="s">
        <v>93</v>
      </c>
      <c r="C8" s="4" t="s">
        <v>88</v>
      </c>
      <c r="D8" s="17" t="n">
        <v>6</v>
      </c>
      <c r="E8" s="4" t="s">
        <v>86</v>
      </c>
      <c r="F8" s="4"/>
      <c r="G8" s="13" t="n">
        <f aca="false">MAX(0,H6+0)</f>
        <v>2</v>
      </c>
      <c r="H8" s="13" t="n">
        <f aca="false">G8+D8</f>
        <v>8</v>
      </c>
      <c r="I8" s="13" t="n">
        <f aca="false">J8-D8</f>
        <v>23</v>
      </c>
      <c r="J8" s="13" t="n">
        <f aca="false">I31-0</f>
        <v>29</v>
      </c>
      <c r="K8" s="13" t="n">
        <f aca="false">I8-G8</f>
        <v>21</v>
      </c>
      <c r="L8" s="18" t="str">
        <f aca="false">IF(K8=0,"Sí","")</f>
        <v/>
      </c>
      <c r="M8" s="19" t="n">
        <f aca="false">INDEX(Calendario!$B$3:$B$172,G8+1)</f>
        <v>46300</v>
      </c>
      <c r="N8" s="19" t="n">
        <f aca="false">INDEX(Calendario!$B$3:$B$172,H8)</f>
        <v>46308</v>
      </c>
    </row>
    <row r="9" customFormat="false" ht="15" hidden="false" customHeight="false" outlineLevel="0" collapsed="false">
      <c r="A9" s="4" t="s">
        <v>94</v>
      </c>
      <c r="B9" s="4" t="s">
        <v>95</v>
      </c>
      <c r="C9" s="4" t="s">
        <v>88</v>
      </c>
      <c r="D9" s="17" t="n">
        <v>5</v>
      </c>
      <c r="E9" s="4" t="s">
        <v>86</v>
      </c>
      <c r="F9" s="4"/>
      <c r="G9" s="13" t="n">
        <f aca="false">MAX(0,H6+0)</f>
        <v>2</v>
      </c>
      <c r="H9" s="13" t="n">
        <f aca="false">G9+D9</f>
        <v>7</v>
      </c>
      <c r="I9" s="13" t="n">
        <f aca="false">J9-D9</f>
        <v>16</v>
      </c>
      <c r="J9" s="13" t="n">
        <f aca="false">I26-0</f>
        <v>21</v>
      </c>
      <c r="K9" s="13" t="n">
        <f aca="false">I9-G9</f>
        <v>14</v>
      </c>
      <c r="L9" s="18" t="str">
        <f aca="false">IF(K9=0,"Sí","")</f>
        <v/>
      </c>
      <c r="M9" s="19" t="n">
        <f aca="false">INDEX(Calendario!$B$3:$B$172,G9+1)</f>
        <v>46300</v>
      </c>
      <c r="N9" s="19" t="n">
        <f aca="false">INDEX(Calendario!$B$3:$B$172,H9)</f>
        <v>46304</v>
      </c>
    </row>
    <row r="10" customFormat="false" ht="15" hidden="false" customHeight="false" outlineLevel="0" collapsed="false">
      <c r="A10" s="4" t="s">
        <v>96</v>
      </c>
      <c r="B10" s="4" t="s">
        <v>97</v>
      </c>
      <c r="C10" s="4" t="s">
        <v>88</v>
      </c>
      <c r="D10" s="13" t="n">
        <f aca="false">H10-G10</f>
        <v>132</v>
      </c>
      <c r="E10" s="4" t="s">
        <v>98</v>
      </c>
      <c r="F10" s="4"/>
      <c r="G10" s="13" t="n">
        <f aca="false">MAX(H7,H8,H9)</f>
        <v>8</v>
      </c>
      <c r="H10" s="13" t="n">
        <f aca="false">FinRed</f>
        <v>140</v>
      </c>
      <c r="I10" s="13" t="n">
        <f aca="false">G10</f>
        <v>8</v>
      </c>
      <c r="J10" s="13" t="n">
        <f aca="false">H10</f>
        <v>140</v>
      </c>
      <c r="K10" s="13" t="n">
        <f aca="false">I10-G10</f>
        <v>0</v>
      </c>
      <c r="L10" s="18" t="s">
        <v>99</v>
      </c>
      <c r="M10" s="19" t="n">
        <f aca="false">INDEX(Calendario!$B$3:$B$172,G10+1)</f>
        <v>46309</v>
      </c>
      <c r="N10" s="19" t="n">
        <f aca="false">INDEX(Calendario!$B$3:$B$172,H10)</f>
        <v>46507</v>
      </c>
    </row>
    <row r="11" customFormat="false" ht="15" hidden="false" customHeight="false" outlineLevel="0" collapsed="false">
      <c r="A11" s="4" t="s">
        <v>100</v>
      </c>
      <c r="B11" s="4" t="s">
        <v>101</v>
      </c>
      <c r="C11" s="4" t="s">
        <v>88</v>
      </c>
      <c r="D11" s="17" t="n">
        <v>5</v>
      </c>
      <c r="E11" s="4" t="s">
        <v>102</v>
      </c>
      <c r="F11" s="4"/>
      <c r="G11" s="13" t="n">
        <f aca="false">MAX(0,H36+0-D11,H37+0-D11)</f>
        <v>135</v>
      </c>
      <c r="H11" s="13" t="n">
        <f aca="false">G11+D11</f>
        <v>140</v>
      </c>
      <c r="I11" s="13" t="n">
        <f aca="false">J11-D11</f>
        <v>135</v>
      </c>
      <c r="J11" s="13" t="n">
        <f aca="false">FinRed</f>
        <v>140</v>
      </c>
      <c r="K11" s="13" t="n">
        <f aca="false">I11-G11</f>
        <v>0</v>
      </c>
      <c r="L11" s="18" t="str">
        <f aca="false">IF(K11=0,"Sí","")</f>
        <v>Sí</v>
      </c>
      <c r="M11" s="19" t="n">
        <f aca="false">INDEX(Calendario!$B$3:$B$172,G11+1)</f>
        <v>46503</v>
      </c>
      <c r="N11" s="19" t="n">
        <f aca="false">INDEX(Calendario!$B$3:$B$172,H11)</f>
        <v>46507</v>
      </c>
    </row>
    <row r="12" customFormat="false" ht="15" hidden="false" customHeight="false" outlineLevel="0" collapsed="false">
      <c r="A12" s="4" t="s">
        <v>103</v>
      </c>
      <c r="B12" s="4" t="s">
        <v>104</v>
      </c>
      <c r="C12" s="4" t="s">
        <v>105</v>
      </c>
      <c r="D12" s="17" t="n">
        <v>10</v>
      </c>
      <c r="E12" s="4" t="s">
        <v>90</v>
      </c>
      <c r="F12" s="4"/>
      <c r="G12" s="13" t="n">
        <f aca="false">MAX(0,H7+0)</f>
        <v>8</v>
      </c>
      <c r="H12" s="13" t="n">
        <f aca="false">G12+D12</f>
        <v>18</v>
      </c>
      <c r="I12" s="13" t="n">
        <f aca="false">J12-D12</f>
        <v>16</v>
      </c>
      <c r="J12" s="13" t="n">
        <f aca="false">MIN(I13-0,I14-SS_23+D12,I15-0,I18-0)</f>
        <v>26</v>
      </c>
      <c r="K12" s="13" t="n">
        <f aca="false">I12-G12</f>
        <v>8</v>
      </c>
      <c r="L12" s="18" t="str">
        <f aca="false">IF(K12=0,"Sí","")</f>
        <v/>
      </c>
      <c r="M12" s="19" t="n">
        <f aca="false">INDEX(Calendario!$B$3:$B$172,G12+1)</f>
        <v>46309</v>
      </c>
      <c r="N12" s="19" t="n">
        <f aca="false">INDEX(Calendario!$B$3:$B$172,H12)</f>
        <v>46322</v>
      </c>
    </row>
    <row r="13" customFormat="false" ht="15" hidden="false" customHeight="false" outlineLevel="0" collapsed="false">
      <c r="A13" s="4" t="s">
        <v>106</v>
      </c>
      <c r="B13" s="4" t="s">
        <v>107</v>
      </c>
      <c r="C13" s="4" t="s">
        <v>108</v>
      </c>
      <c r="D13" s="17" t="n">
        <v>15</v>
      </c>
      <c r="E13" s="4" t="s">
        <v>103</v>
      </c>
      <c r="F13" s="4"/>
      <c r="G13" s="13" t="n">
        <f aca="false">MAX(0,H12+0)</f>
        <v>18</v>
      </c>
      <c r="H13" s="13" t="n">
        <f aca="false">G13+D13</f>
        <v>33</v>
      </c>
      <c r="I13" s="13" t="n">
        <f aca="false">J13-D13</f>
        <v>26</v>
      </c>
      <c r="J13" s="13" t="n">
        <f aca="false">I32-0</f>
        <v>41</v>
      </c>
      <c r="K13" s="13" t="n">
        <f aca="false">I13-G13</f>
        <v>8</v>
      </c>
      <c r="L13" s="18" t="str">
        <f aca="false">IF(K13=0,"Sí","")</f>
        <v/>
      </c>
      <c r="M13" s="19" t="n">
        <f aca="false">INDEX(Calendario!$B$3:$B$172,G13+1)</f>
        <v>46323</v>
      </c>
      <c r="N13" s="19" t="n">
        <f aca="false">INDEX(Calendario!$B$3:$B$172,H13)</f>
        <v>46343</v>
      </c>
    </row>
    <row r="14" customFormat="false" ht="15" hidden="false" customHeight="false" outlineLevel="0" collapsed="false">
      <c r="A14" s="4" t="s">
        <v>109</v>
      </c>
      <c r="B14" s="4" t="s">
        <v>110</v>
      </c>
      <c r="C14" s="4" t="s">
        <v>111</v>
      </c>
      <c r="D14" s="17" t="n">
        <v>18</v>
      </c>
      <c r="E14" s="4" t="s">
        <v>112</v>
      </c>
      <c r="F14" s="4"/>
      <c r="G14" s="13" t="n">
        <f aca="false">MAX(0,G12+SS_23)</f>
        <v>13</v>
      </c>
      <c r="H14" s="13" t="n">
        <f aca="false">G14+D14</f>
        <v>31</v>
      </c>
      <c r="I14" s="13" t="n">
        <f aca="false">J14-D14</f>
        <v>23</v>
      </c>
      <c r="J14" s="13" t="n">
        <f aca="false">MIN(I16-0,I32-0)</f>
        <v>41</v>
      </c>
      <c r="K14" s="13" t="n">
        <f aca="false">I14-G14</f>
        <v>10</v>
      </c>
      <c r="L14" s="18" t="str">
        <f aca="false">IF(K14=0,"Sí","")</f>
        <v/>
      </c>
      <c r="M14" s="19" t="n">
        <f aca="false">INDEX(Calendario!$B$3:$B$172,G14+1)</f>
        <v>46316</v>
      </c>
      <c r="N14" s="19" t="n">
        <f aca="false">INDEX(Calendario!$B$3:$B$172,H14)</f>
        <v>46339</v>
      </c>
    </row>
    <row r="15" customFormat="false" ht="15" hidden="false" customHeight="false" outlineLevel="0" collapsed="false">
      <c r="A15" s="4" t="s">
        <v>113</v>
      </c>
      <c r="B15" s="4" t="s">
        <v>114</v>
      </c>
      <c r="C15" s="4" t="s">
        <v>111</v>
      </c>
      <c r="D15" s="17" t="n">
        <v>15</v>
      </c>
      <c r="E15" s="4" t="s">
        <v>103</v>
      </c>
      <c r="F15" s="4"/>
      <c r="G15" s="13" t="n">
        <f aca="false">MAX(0,H12+0)</f>
        <v>18</v>
      </c>
      <c r="H15" s="13" t="n">
        <f aca="false">G15+D15</f>
        <v>33</v>
      </c>
      <c r="I15" s="13" t="n">
        <f aca="false">J15-D15</f>
        <v>26</v>
      </c>
      <c r="J15" s="13" t="n">
        <f aca="false">I32-0</f>
        <v>41</v>
      </c>
      <c r="K15" s="13" t="n">
        <f aca="false">I15-G15</f>
        <v>8</v>
      </c>
      <c r="L15" s="18" t="str">
        <f aca="false">IF(K15=0,"Sí","")</f>
        <v/>
      </c>
      <c r="M15" s="19" t="n">
        <f aca="false">INDEX(Calendario!$B$3:$B$172,G15+1)</f>
        <v>46323</v>
      </c>
      <c r="N15" s="19" t="n">
        <f aca="false">INDEX(Calendario!$B$3:$B$172,H15)</f>
        <v>46343</v>
      </c>
    </row>
    <row r="16" customFormat="false" ht="15" hidden="false" customHeight="false" outlineLevel="0" collapsed="false">
      <c r="A16" s="4" t="s">
        <v>115</v>
      </c>
      <c r="B16" s="4" t="s">
        <v>116</v>
      </c>
      <c r="C16" s="4" t="s">
        <v>111</v>
      </c>
      <c r="D16" s="17" t="n">
        <v>12</v>
      </c>
      <c r="E16" s="4" t="s">
        <v>109</v>
      </c>
      <c r="F16" s="4"/>
      <c r="G16" s="13" t="n">
        <f aca="false">MAX(0,H14+0)</f>
        <v>31</v>
      </c>
      <c r="H16" s="13" t="n">
        <f aca="false">G16+D16</f>
        <v>43</v>
      </c>
      <c r="I16" s="13" t="n">
        <f aca="false">J16-D16</f>
        <v>71</v>
      </c>
      <c r="J16" s="13" t="n">
        <f aca="false">I17-0</f>
        <v>83</v>
      </c>
      <c r="K16" s="13" t="n">
        <f aca="false">I16-G16</f>
        <v>40</v>
      </c>
      <c r="L16" s="18" t="str">
        <f aca="false">IF(K16=0,"Sí","")</f>
        <v/>
      </c>
      <c r="M16" s="19" t="n">
        <f aca="false">INDEX(Calendario!$B$3:$B$172,G16+1)</f>
        <v>46342</v>
      </c>
      <c r="N16" s="19" t="n">
        <f aca="false">INDEX(Calendario!$B$3:$B$172,H16)</f>
        <v>46358</v>
      </c>
    </row>
    <row r="17" customFormat="false" ht="15" hidden="false" customHeight="false" outlineLevel="0" collapsed="false">
      <c r="A17" s="4" t="s">
        <v>117</v>
      </c>
      <c r="B17" s="4" t="s">
        <v>118</v>
      </c>
      <c r="C17" s="4" t="s">
        <v>111</v>
      </c>
      <c r="D17" s="17" t="n">
        <v>15</v>
      </c>
      <c r="E17" s="4" t="s">
        <v>119</v>
      </c>
      <c r="F17" s="4"/>
      <c r="G17" s="13" t="n">
        <f aca="false">MAX(0,H16+0,H22+0)</f>
        <v>43</v>
      </c>
      <c r="H17" s="13" t="n">
        <f aca="false">G17+D17</f>
        <v>58</v>
      </c>
      <c r="I17" s="13" t="n">
        <f aca="false">J17-D17</f>
        <v>83</v>
      </c>
      <c r="J17" s="13" t="n">
        <f aca="false">MIN(I20-0,I25-SS_35+D17)</f>
        <v>98</v>
      </c>
      <c r="K17" s="13" t="n">
        <f aca="false">I17-G17</f>
        <v>40</v>
      </c>
      <c r="L17" s="18" t="str">
        <f aca="false">IF(K17=0,"Sí","")</f>
        <v/>
      </c>
      <c r="M17" s="19" t="n">
        <f aca="false">INDEX(Calendario!$B$3:$B$172,G17+1)</f>
        <v>46359</v>
      </c>
      <c r="N17" s="19" t="n">
        <f aca="false">INDEX(Calendario!$B$3:$B$172,H17)</f>
        <v>46384</v>
      </c>
    </row>
    <row r="18" customFormat="false" ht="15" hidden="false" customHeight="false" outlineLevel="0" collapsed="false">
      <c r="A18" s="4" t="s">
        <v>120</v>
      </c>
      <c r="B18" s="4" t="s">
        <v>121</v>
      </c>
      <c r="C18" s="4" t="s">
        <v>122</v>
      </c>
      <c r="D18" s="17" t="n">
        <v>15</v>
      </c>
      <c r="E18" s="4" t="s">
        <v>103</v>
      </c>
      <c r="F18" s="4"/>
      <c r="G18" s="13" t="n">
        <f aca="false">MAX(0,H12+0)</f>
        <v>18</v>
      </c>
      <c r="H18" s="13" t="n">
        <f aca="false">G18+D18</f>
        <v>33</v>
      </c>
      <c r="I18" s="13" t="n">
        <f aca="false">J18-D18</f>
        <v>26</v>
      </c>
      <c r="J18" s="13" t="n">
        <f aca="false">MIN(I19-0,I20-0,I32-0)</f>
        <v>41</v>
      </c>
      <c r="K18" s="13" t="n">
        <f aca="false">I18-G18</f>
        <v>8</v>
      </c>
      <c r="L18" s="18" t="str">
        <f aca="false">IF(K18=0,"Sí","")</f>
        <v/>
      </c>
      <c r="M18" s="19" t="n">
        <f aca="false">INDEX(Calendario!$B$3:$B$172,G18+1)</f>
        <v>46323</v>
      </c>
      <c r="N18" s="19" t="n">
        <f aca="false">INDEX(Calendario!$B$3:$B$172,H18)</f>
        <v>46343</v>
      </c>
    </row>
    <row r="19" customFormat="false" ht="15" hidden="false" customHeight="false" outlineLevel="0" collapsed="false">
      <c r="A19" s="4" t="s">
        <v>123</v>
      </c>
      <c r="B19" s="4" t="s">
        <v>124</v>
      </c>
      <c r="C19" s="4" t="s">
        <v>111</v>
      </c>
      <c r="D19" s="17" t="n">
        <v>10</v>
      </c>
      <c r="E19" s="4" t="s">
        <v>125</v>
      </c>
      <c r="F19" s="4"/>
      <c r="G19" s="13" t="n">
        <f aca="false">MAX(0,H18+0,H23+0)</f>
        <v>33</v>
      </c>
      <c r="H19" s="13" t="n">
        <f aca="false">G19+D19</f>
        <v>43</v>
      </c>
      <c r="I19" s="13" t="n">
        <f aca="false">J19-D19</f>
        <v>100</v>
      </c>
      <c r="J19" s="13" t="n">
        <f aca="false">I34-0</f>
        <v>110</v>
      </c>
      <c r="K19" s="13" t="n">
        <f aca="false">I19-G19</f>
        <v>67</v>
      </c>
      <c r="L19" s="18" t="str">
        <f aca="false">IF(K19=0,"Sí","")</f>
        <v/>
      </c>
      <c r="M19" s="19" t="n">
        <f aca="false">INDEX(Calendario!$B$3:$B$172,G19+1)</f>
        <v>46344</v>
      </c>
      <c r="N19" s="19" t="n">
        <f aca="false">INDEX(Calendario!$B$3:$B$172,H19)</f>
        <v>46358</v>
      </c>
    </row>
    <row r="20" customFormat="false" ht="15" hidden="false" customHeight="false" outlineLevel="0" collapsed="false">
      <c r="A20" s="4" t="s">
        <v>126</v>
      </c>
      <c r="B20" s="4" t="s">
        <v>127</v>
      </c>
      <c r="C20" s="4" t="s">
        <v>111</v>
      </c>
      <c r="D20" s="17" t="n">
        <v>12</v>
      </c>
      <c r="E20" s="4" t="s">
        <v>128</v>
      </c>
      <c r="F20" s="4"/>
      <c r="G20" s="13" t="n">
        <f aca="false">MAX(0,H17+0,H18+0)</f>
        <v>58</v>
      </c>
      <c r="H20" s="13" t="n">
        <f aca="false">G20+D20</f>
        <v>70</v>
      </c>
      <c r="I20" s="13" t="n">
        <f aca="false">J20-D20</f>
        <v>98</v>
      </c>
      <c r="J20" s="13" t="n">
        <f aca="false">I34-0</f>
        <v>110</v>
      </c>
      <c r="K20" s="13" t="n">
        <f aca="false">I20-G20</f>
        <v>40</v>
      </c>
      <c r="L20" s="18" t="str">
        <f aca="false">IF(K20=0,"Sí","")</f>
        <v/>
      </c>
      <c r="M20" s="19" t="n">
        <f aca="false">INDEX(Calendario!$B$3:$B$172,G20+1)</f>
        <v>46385</v>
      </c>
      <c r="N20" s="19" t="n">
        <f aca="false">INDEX(Calendario!$B$3:$B$172,H20)</f>
        <v>46401</v>
      </c>
    </row>
    <row r="21" customFormat="false" ht="15" hidden="false" customHeight="false" outlineLevel="0" collapsed="false">
      <c r="A21" s="4" t="s">
        <v>129</v>
      </c>
      <c r="B21" s="4" t="s">
        <v>130</v>
      </c>
      <c r="C21" s="4" t="s">
        <v>131</v>
      </c>
      <c r="D21" s="17" t="n">
        <v>12</v>
      </c>
      <c r="E21" s="4" t="s">
        <v>90</v>
      </c>
      <c r="F21" s="4"/>
      <c r="G21" s="13" t="n">
        <f aca="false">MAX(0,H7+0)</f>
        <v>8</v>
      </c>
      <c r="H21" s="13" t="n">
        <f aca="false">G21+D21</f>
        <v>20</v>
      </c>
      <c r="I21" s="13" t="n">
        <f aca="false">J21-D21</f>
        <v>29</v>
      </c>
      <c r="J21" s="13" t="n">
        <f aca="false">MIN(I22-0,I23-0,I32-0)</f>
        <v>41</v>
      </c>
      <c r="K21" s="13" t="n">
        <f aca="false">I21-G21</f>
        <v>21</v>
      </c>
      <c r="L21" s="18" t="str">
        <f aca="false">IF(K21=0,"Sí","")</f>
        <v/>
      </c>
      <c r="M21" s="19" t="n">
        <f aca="false">INDEX(Calendario!$B$3:$B$172,G21+1)</f>
        <v>46309</v>
      </c>
      <c r="N21" s="19" t="n">
        <f aca="false">INDEX(Calendario!$B$3:$B$172,H21)</f>
        <v>46324</v>
      </c>
    </row>
    <row r="22" customFormat="false" ht="15" hidden="false" customHeight="false" outlineLevel="0" collapsed="false">
      <c r="A22" s="4" t="s">
        <v>132</v>
      </c>
      <c r="B22" s="4" t="s">
        <v>133</v>
      </c>
      <c r="C22" s="4" t="s">
        <v>131</v>
      </c>
      <c r="D22" s="17" t="n">
        <v>10</v>
      </c>
      <c r="E22" s="4" t="s">
        <v>129</v>
      </c>
      <c r="F22" s="4"/>
      <c r="G22" s="13" t="n">
        <f aca="false">MAX(0,H21+0)</f>
        <v>20</v>
      </c>
      <c r="H22" s="13" t="n">
        <f aca="false">G22+D22</f>
        <v>30</v>
      </c>
      <c r="I22" s="13" t="n">
        <f aca="false">J22-D22</f>
        <v>73</v>
      </c>
      <c r="J22" s="13" t="n">
        <f aca="false">MIN(I17-0,I24-0)</f>
        <v>83</v>
      </c>
      <c r="K22" s="13" t="n">
        <f aca="false">I22-G22</f>
        <v>53</v>
      </c>
      <c r="L22" s="18" t="str">
        <f aca="false">IF(K22=0,"Sí","")</f>
        <v/>
      </c>
      <c r="M22" s="19" t="n">
        <f aca="false">INDEX(Calendario!$B$3:$B$172,G22+1)</f>
        <v>46325</v>
      </c>
      <c r="N22" s="19" t="n">
        <f aca="false">INDEX(Calendario!$B$3:$B$172,H22)</f>
        <v>46338</v>
      </c>
    </row>
    <row r="23" customFormat="false" ht="15" hidden="false" customHeight="false" outlineLevel="0" collapsed="false">
      <c r="A23" s="4" t="s">
        <v>134</v>
      </c>
      <c r="B23" s="4" t="s">
        <v>135</v>
      </c>
      <c r="C23" s="4" t="s">
        <v>131</v>
      </c>
      <c r="D23" s="17" t="n">
        <v>10</v>
      </c>
      <c r="E23" s="4" t="s">
        <v>129</v>
      </c>
      <c r="F23" s="4"/>
      <c r="G23" s="13" t="n">
        <f aca="false">MAX(0,H21+0)</f>
        <v>20</v>
      </c>
      <c r="H23" s="13" t="n">
        <f aca="false">G23+D23</f>
        <v>30</v>
      </c>
      <c r="I23" s="13" t="n">
        <f aca="false">J23-D23</f>
        <v>73</v>
      </c>
      <c r="J23" s="13" t="n">
        <f aca="false">MIN(I19-0,I24-0)</f>
        <v>83</v>
      </c>
      <c r="K23" s="13" t="n">
        <f aca="false">I23-G23</f>
        <v>53</v>
      </c>
      <c r="L23" s="18" t="str">
        <f aca="false">IF(K23=0,"Sí","")</f>
        <v/>
      </c>
      <c r="M23" s="19" t="n">
        <f aca="false">INDEX(Calendario!$B$3:$B$172,G23+1)</f>
        <v>46325</v>
      </c>
      <c r="N23" s="19" t="n">
        <f aca="false">INDEX(Calendario!$B$3:$B$172,H23)</f>
        <v>46338</v>
      </c>
    </row>
    <row r="24" customFormat="false" ht="15" hidden="false" customHeight="false" outlineLevel="0" collapsed="false">
      <c r="A24" s="4" t="s">
        <v>136</v>
      </c>
      <c r="B24" s="4" t="s">
        <v>137</v>
      </c>
      <c r="C24" s="4" t="s">
        <v>138</v>
      </c>
      <c r="D24" s="17" t="n">
        <v>15</v>
      </c>
      <c r="E24" s="4" t="s">
        <v>139</v>
      </c>
      <c r="F24" s="4"/>
      <c r="G24" s="13" t="n">
        <f aca="false">MAX(0,H22+0,H23+0)</f>
        <v>30</v>
      </c>
      <c r="H24" s="13" t="n">
        <f aca="false">G24+D24</f>
        <v>45</v>
      </c>
      <c r="I24" s="13" t="n">
        <f aca="false">J24-D24</f>
        <v>83</v>
      </c>
      <c r="J24" s="13" t="n">
        <f aca="false">I25-0</f>
        <v>98</v>
      </c>
      <c r="K24" s="13" t="n">
        <f aca="false">I24-G24</f>
        <v>53</v>
      </c>
      <c r="L24" s="18" t="str">
        <f aca="false">IF(K24=0,"Sí","")</f>
        <v/>
      </c>
      <c r="M24" s="19" t="n">
        <f aca="false">INDEX(Calendario!$B$3:$B$172,G24+1)</f>
        <v>46339</v>
      </c>
      <c r="N24" s="19" t="n">
        <f aca="false">INDEX(Calendario!$B$3:$B$172,H24)</f>
        <v>46360</v>
      </c>
    </row>
    <row r="25" customFormat="false" ht="15" hidden="false" customHeight="false" outlineLevel="0" collapsed="false">
      <c r="A25" s="4" t="s">
        <v>140</v>
      </c>
      <c r="B25" s="4" t="s">
        <v>141</v>
      </c>
      <c r="C25" s="4" t="s">
        <v>138</v>
      </c>
      <c r="D25" s="17" t="n">
        <v>12</v>
      </c>
      <c r="E25" s="4" t="s">
        <v>142</v>
      </c>
      <c r="F25" s="4"/>
      <c r="G25" s="13" t="n">
        <f aca="false">MAX(0,H24+0,G17+SS_35)</f>
        <v>53</v>
      </c>
      <c r="H25" s="13" t="n">
        <f aca="false">G25+D25</f>
        <v>65</v>
      </c>
      <c r="I25" s="13" t="n">
        <f aca="false">J25-D25</f>
        <v>98</v>
      </c>
      <c r="J25" s="13" t="n">
        <f aca="false">I34-0</f>
        <v>110</v>
      </c>
      <c r="K25" s="13" t="n">
        <f aca="false">I25-G25</f>
        <v>45</v>
      </c>
      <c r="L25" s="18" t="str">
        <f aca="false">IF(K25=0,"Sí","")</f>
        <v/>
      </c>
      <c r="M25" s="19" t="n">
        <f aca="false">INDEX(Calendario!$B$3:$B$172,G25+1)</f>
        <v>46377</v>
      </c>
      <c r="N25" s="19" t="n">
        <f aca="false">INDEX(Calendario!$B$3:$B$172,H25)</f>
        <v>46394</v>
      </c>
    </row>
    <row r="26" customFormat="false" ht="15" hidden="false" customHeight="false" outlineLevel="0" collapsed="false">
      <c r="A26" s="4" t="s">
        <v>143</v>
      </c>
      <c r="B26" s="4" t="s">
        <v>144</v>
      </c>
      <c r="C26" s="4" t="s">
        <v>145</v>
      </c>
      <c r="D26" s="17" t="n">
        <v>10</v>
      </c>
      <c r="E26" s="4" t="s">
        <v>94</v>
      </c>
      <c r="F26" s="4"/>
      <c r="G26" s="13" t="n">
        <f aca="false">MAX(0,H9+0)</f>
        <v>7</v>
      </c>
      <c r="H26" s="13" t="n">
        <f aca="false">G26+D26</f>
        <v>17</v>
      </c>
      <c r="I26" s="13" t="n">
        <f aca="false">J26-D26</f>
        <v>21</v>
      </c>
      <c r="J26" s="13" t="n">
        <f aca="false">I27-0</f>
        <v>31</v>
      </c>
      <c r="K26" s="13" t="n">
        <f aca="false">I26-G26</f>
        <v>14</v>
      </c>
      <c r="L26" s="18" t="str">
        <f aca="false">IF(K26=0,"Sí","")</f>
        <v/>
      </c>
      <c r="M26" s="19" t="n">
        <f aca="false">INDEX(Calendario!$B$3:$B$172,G26+1)</f>
        <v>46308</v>
      </c>
      <c r="N26" s="19" t="n">
        <f aca="false">INDEX(Calendario!$B$3:$B$172,H26)</f>
        <v>46321</v>
      </c>
    </row>
    <row r="27" customFormat="false" ht="15" hidden="false" customHeight="false" outlineLevel="0" collapsed="false">
      <c r="A27" s="4" t="s">
        <v>146</v>
      </c>
      <c r="B27" s="4" t="s">
        <v>147</v>
      </c>
      <c r="C27" s="4" t="s">
        <v>145</v>
      </c>
      <c r="D27" s="17" t="n">
        <v>10</v>
      </c>
      <c r="E27" s="4" t="s">
        <v>143</v>
      </c>
      <c r="F27" s="4"/>
      <c r="G27" s="13" t="n">
        <f aca="false">MAX(0,H26+0)</f>
        <v>17</v>
      </c>
      <c r="H27" s="13" t="n">
        <f aca="false">G27+D27</f>
        <v>27</v>
      </c>
      <c r="I27" s="13" t="n">
        <f aca="false">J27-D27</f>
        <v>31</v>
      </c>
      <c r="J27" s="13" t="n">
        <f aca="false">MIN(I28-0,I29-0,I32-0)</f>
        <v>41</v>
      </c>
      <c r="K27" s="13" t="n">
        <f aca="false">I27-G27</f>
        <v>14</v>
      </c>
      <c r="L27" s="18" t="str">
        <f aca="false">IF(K27=0,"Sí","")</f>
        <v/>
      </c>
      <c r="M27" s="19" t="n">
        <f aca="false">INDEX(Calendario!$B$3:$B$172,G27+1)</f>
        <v>46322</v>
      </c>
      <c r="N27" s="19" t="n">
        <f aca="false">INDEX(Calendario!$B$3:$B$172,H27)</f>
        <v>46335</v>
      </c>
    </row>
    <row r="28" customFormat="false" ht="15" hidden="false" customHeight="false" outlineLevel="0" collapsed="false">
      <c r="A28" s="4" t="s">
        <v>148</v>
      </c>
      <c r="B28" s="4" t="s">
        <v>149</v>
      </c>
      <c r="C28" s="4" t="s">
        <v>145</v>
      </c>
      <c r="D28" s="17" t="n">
        <v>15</v>
      </c>
      <c r="E28" s="4" t="s">
        <v>146</v>
      </c>
      <c r="F28" s="12" t="n">
        <v>46447</v>
      </c>
      <c r="G28" s="13" t="n">
        <f aca="false">MAX(0,NETWORKDAYS(InicioProyecto,F28-1,Feriados),H27+0)</f>
        <v>99</v>
      </c>
      <c r="H28" s="13" t="n">
        <f aca="false">G28+D28</f>
        <v>114</v>
      </c>
      <c r="I28" s="13" t="n">
        <f aca="false">J28-D28</f>
        <v>103</v>
      </c>
      <c r="J28" s="13" t="n">
        <f aca="false">I35-0</f>
        <v>118</v>
      </c>
      <c r="K28" s="13" t="n">
        <f aca="false">I28-G28</f>
        <v>4</v>
      </c>
      <c r="L28" s="18" t="str">
        <f aca="false">IF(K28=0,"Sí","")</f>
        <v/>
      </c>
      <c r="M28" s="19" t="n">
        <f aca="false">INDEX(Calendario!$B$3:$B$172,G28+1)</f>
        <v>46447</v>
      </c>
      <c r="N28" s="19" t="n">
        <f aca="false">INDEX(Calendario!$B$3:$B$172,H28)</f>
        <v>46465</v>
      </c>
    </row>
    <row r="29" customFormat="false" ht="15" hidden="false" customHeight="false" outlineLevel="0" collapsed="false">
      <c r="A29" s="4" t="s">
        <v>150</v>
      </c>
      <c r="B29" s="4" t="s">
        <v>151</v>
      </c>
      <c r="C29" s="4" t="s">
        <v>145</v>
      </c>
      <c r="D29" s="17" t="n">
        <v>15</v>
      </c>
      <c r="E29" s="4" t="s">
        <v>146</v>
      </c>
      <c r="F29" s="4"/>
      <c r="G29" s="13" t="n">
        <f aca="false">MAX(0,H27+0)</f>
        <v>27</v>
      </c>
      <c r="H29" s="13" t="n">
        <f aca="false">G29+D29</f>
        <v>42</v>
      </c>
      <c r="I29" s="13" t="n">
        <f aca="false">J29-D29</f>
        <v>85</v>
      </c>
      <c r="J29" s="13" t="n">
        <f aca="false">I30-0</f>
        <v>100</v>
      </c>
      <c r="K29" s="13" t="n">
        <f aca="false">I29-G29</f>
        <v>58</v>
      </c>
      <c r="L29" s="18" t="str">
        <f aca="false">IF(K29=0,"Sí","")</f>
        <v/>
      </c>
      <c r="M29" s="19" t="n">
        <f aca="false">INDEX(Calendario!$B$3:$B$172,G29+1)</f>
        <v>46336</v>
      </c>
      <c r="N29" s="19" t="n">
        <f aca="false">INDEX(Calendario!$B$3:$B$172,H29)</f>
        <v>46357</v>
      </c>
    </row>
    <row r="30" customFormat="false" ht="15" hidden="false" customHeight="false" outlineLevel="0" collapsed="false">
      <c r="A30" s="4" t="s">
        <v>152</v>
      </c>
      <c r="B30" s="4" t="s">
        <v>153</v>
      </c>
      <c r="C30" s="4" t="s">
        <v>145</v>
      </c>
      <c r="D30" s="17" t="n">
        <v>10</v>
      </c>
      <c r="E30" s="4" t="s">
        <v>150</v>
      </c>
      <c r="F30" s="4"/>
      <c r="G30" s="13" t="n">
        <f aca="false">MAX(0,H29+0)</f>
        <v>42</v>
      </c>
      <c r="H30" s="13" t="n">
        <f aca="false">G30+D30</f>
        <v>52</v>
      </c>
      <c r="I30" s="13" t="n">
        <f aca="false">J30-D30</f>
        <v>100</v>
      </c>
      <c r="J30" s="13" t="n">
        <f aca="false">I34-0</f>
        <v>110</v>
      </c>
      <c r="K30" s="13" t="n">
        <f aca="false">I30-G30</f>
        <v>58</v>
      </c>
      <c r="L30" s="18" t="str">
        <f aca="false">IF(K30=0,"Sí","")</f>
        <v/>
      </c>
      <c r="M30" s="19" t="n">
        <f aca="false">INDEX(Calendario!$B$3:$B$172,G30+1)</f>
        <v>46358</v>
      </c>
      <c r="N30" s="19" t="n">
        <f aca="false">INDEX(Calendario!$B$3:$B$172,H30)</f>
        <v>46373</v>
      </c>
    </row>
    <row r="31" customFormat="false" ht="15" hidden="false" customHeight="false" outlineLevel="0" collapsed="false">
      <c r="A31" s="4" t="s">
        <v>154</v>
      </c>
      <c r="B31" s="4" t="s">
        <v>155</v>
      </c>
      <c r="C31" s="4" t="s">
        <v>156</v>
      </c>
      <c r="D31" s="17" t="n">
        <v>12</v>
      </c>
      <c r="E31" s="4" t="s">
        <v>92</v>
      </c>
      <c r="F31" s="4"/>
      <c r="G31" s="13" t="n">
        <f aca="false">MAX(0,H8+0)</f>
        <v>8</v>
      </c>
      <c r="H31" s="13" t="n">
        <f aca="false">G31+D31</f>
        <v>20</v>
      </c>
      <c r="I31" s="13" t="n">
        <f aca="false">J31-D31</f>
        <v>29</v>
      </c>
      <c r="J31" s="13" t="n">
        <f aca="false">I32-0</f>
        <v>41</v>
      </c>
      <c r="K31" s="13" t="n">
        <f aca="false">I31-G31</f>
        <v>21</v>
      </c>
      <c r="L31" s="18" t="str">
        <f aca="false">IF(K31=0,"Sí","")</f>
        <v/>
      </c>
      <c r="M31" s="19" t="n">
        <f aca="false">INDEX(Calendario!$B$3:$B$172,G31+1)</f>
        <v>46309</v>
      </c>
      <c r="N31" s="19" t="n">
        <f aca="false">INDEX(Calendario!$B$3:$B$172,H31)</f>
        <v>46324</v>
      </c>
    </row>
    <row r="32" customFormat="false" ht="15" hidden="false" customHeight="false" outlineLevel="0" collapsed="false">
      <c r="A32" s="4" t="s">
        <v>54</v>
      </c>
      <c r="B32" s="4" t="s">
        <v>157</v>
      </c>
      <c r="C32" s="4" t="s">
        <v>105</v>
      </c>
      <c r="D32" s="17" t="n">
        <v>20</v>
      </c>
      <c r="E32" s="4" t="s">
        <v>158</v>
      </c>
      <c r="F32" s="4"/>
      <c r="G32" s="13" t="n">
        <f aca="false">MAX(0,H13+0,H14+0,H15+0,H18+0,H21+0,H27+0,H31+0)</f>
        <v>33</v>
      </c>
      <c r="H32" s="13" t="n">
        <f aca="false">G32+D32</f>
        <v>53</v>
      </c>
      <c r="I32" s="13" t="n">
        <f aca="false">J32-D32</f>
        <v>41</v>
      </c>
      <c r="J32" s="13" t="n">
        <f aca="false">I33-0</f>
        <v>61</v>
      </c>
      <c r="K32" s="13" t="n">
        <f aca="false">I32-G32</f>
        <v>8</v>
      </c>
      <c r="L32" s="18" t="str">
        <f aca="false">IF(K32=0,"Sí","")</f>
        <v/>
      </c>
      <c r="M32" s="19" t="n">
        <f aca="false">INDEX(Calendario!$B$3:$B$172,G32+1)</f>
        <v>46344</v>
      </c>
      <c r="N32" s="19" t="n">
        <f aca="false">INDEX(Calendario!$B$3:$B$172,H32)</f>
        <v>46374</v>
      </c>
    </row>
    <row r="33" customFormat="false" ht="15" hidden="false" customHeight="false" outlineLevel="0" collapsed="false">
      <c r="A33" s="20" t="s">
        <v>159</v>
      </c>
      <c r="B33" s="20" t="s">
        <v>160</v>
      </c>
      <c r="C33" s="20" t="s">
        <v>161</v>
      </c>
      <c r="D33" s="21" t="n">
        <f aca="false">NETWORKDAYS(VentanaDesde,VentanaHasta,Feriados)</f>
        <v>49</v>
      </c>
      <c r="E33" s="20" t="s">
        <v>54</v>
      </c>
      <c r="F33" s="22" t="n">
        <f aca="false">VentanaDesde</f>
        <v>46388</v>
      </c>
      <c r="G33" s="21" t="n">
        <f aca="false">MAX(0,NETWORKDAYS(InicioProyecto,F33-1,Feriados),H32+0)</f>
        <v>61</v>
      </c>
      <c r="H33" s="21" t="n">
        <f aca="false">G33+D33</f>
        <v>110</v>
      </c>
      <c r="I33" s="21" t="n">
        <f aca="false">J33-D33</f>
        <v>61</v>
      </c>
      <c r="J33" s="21" t="n">
        <f aca="false">I34-0</f>
        <v>110</v>
      </c>
      <c r="K33" s="21" t="n">
        <f aca="false">I33-G33</f>
        <v>0</v>
      </c>
      <c r="L33" s="23" t="str">
        <f aca="false">IF(K33=0,"Sí","")</f>
        <v>Sí</v>
      </c>
      <c r="M33" s="24" t="n">
        <f aca="false">INDEX(Calendario!$B$3:$B$172,G33+1)</f>
        <v>46391</v>
      </c>
      <c r="N33" s="24" t="n">
        <f aca="false">INDEX(Calendario!$B$3:$B$172,H33)</f>
        <v>46461</v>
      </c>
    </row>
    <row r="34" customFormat="false" ht="15" hidden="false" customHeight="false" outlineLevel="0" collapsed="false">
      <c r="A34" s="4" t="s">
        <v>60</v>
      </c>
      <c r="B34" s="4" t="s">
        <v>162</v>
      </c>
      <c r="C34" s="4" t="s">
        <v>163</v>
      </c>
      <c r="D34" s="17" t="n">
        <v>4</v>
      </c>
      <c r="E34" s="4" t="s">
        <v>164</v>
      </c>
      <c r="F34" s="4"/>
      <c r="G34" s="13" t="n">
        <f aca="false">MAX(0,H33+0,H19+0,H20+0,H25+0,H30+0)</f>
        <v>110</v>
      </c>
      <c r="H34" s="13" t="n">
        <f aca="false">G34+D34</f>
        <v>114</v>
      </c>
      <c r="I34" s="13" t="n">
        <f aca="false">J34-D34</f>
        <v>110</v>
      </c>
      <c r="J34" s="13" t="n">
        <f aca="false">I35-LAG_54</f>
        <v>114</v>
      </c>
      <c r="K34" s="13" t="n">
        <f aca="false">I34-G34</f>
        <v>0</v>
      </c>
      <c r="L34" s="18" t="str">
        <f aca="false">IF(K34=0,"Sí","")</f>
        <v>Sí</v>
      </c>
      <c r="M34" s="19" t="n">
        <f aca="false">INDEX(Calendario!$B$3:$B$172,G34+1)</f>
        <v>46462</v>
      </c>
      <c r="N34" s="19" t="n">
        <f aca="false">INDEX(Calendario!$B$3:$B$172,H34)</f>
        <v>46465</v>
      </c>
    </row>
    <row r="35" customFormat="false" ht="15" hidden="false" customHeight="false" outlineLevel="0" collapsed="false">
      <c r="A35" s="4" t="s">
        <v>165</v>
      </c>
      <c r="B35" s="4" t="s">
        <v>166</v>
      </c>
      <c r="C35" s="4" t="s">
        <v>167</v>
      </c>
      <c r="D35" s="17" t="n">
        <v>20</v>
      </c>
      <c r="E35" s="4" t="s">
        <v>168</v>
      </c>
      <c r="F35" s="4"/>
      <c r="G35" s="13" t="n">
        <f aca="false">MAX(0,H34+LAG_54,H28+0)</f>
        <v>118</v>
      </c>
      <c r="H35" s="13" t="n">
        <f aca="false">G35+D35</f>
        <v>138</v>
      </c>
      <c r="I35" s="13" t="n">
        <f aca="false">J35-D35</f>
        <v>118</v>
      </c>
      <c r="J35" s="13" t="n">
        <f aca="false">MIN(J36-FF_5x,J37-FF_5x)</f>
        <v>138</v>
      </c>
      <c r="K35" s="13" t="n">
        <f aca="false">I35-G35</f>
        <v>0</v>
      </c>
      <c r="L35" s="18" t="str">
        <f aca="false">IF(K35=0,"Sí","")</f>
        <v>Sí</v>
      </c>
      <c r="M35" s="19" t="n">
        <f aca="false">INDEX(Calendario!$B$3:$B$172,G35+1)</f>
        <v>46477</v>
      </c>
      <c r="N35" s="19" t="n">
        <f aca="false">INDEX(Calendario!$B$3:$B$172,H35)</f>
        <v>46505</v>
      </c>
    </row>
    <row r="36" customFormat="false" ht="15" hidden="false" customHeight="false" outlineLevel="0" collapsed="false">
      <c r="A36" s="4" t="s">
        <v>169</v>
      </c>
      <c r="B36" s="4" t="s">
        <v>170</v>
      </c>
      <c r="C36" s="4" t="s">
        <v>171</v>
      </c>
      <c r="D36" s="17" t="n">
        <v>10</v>
      </c>
      <c r="E36" s="4" t="s">
        <v>172</v>
      </c>
      <c r="F36" s="4"/>
      <c r="G36" s="13" t="n">
        <f aca="false">MAX(0,H35+FF_5x-D36)</f>
        <v>130</v>
      </c>
      <c r="H36" s="13" t="n">
        <f aca="false">G36+D36</f>
        <v>140</v>
      </c>
      <c r="I36" s="13" t="n">
        <f aca="false">J36-D36</f>
        <v>130</v>
      </c>
      <c r="J36" s="13" t="n">
        <f aca="false">J11-0</f>
        <v>140</v>
      </c>
      <c r="K36" s="13" t="n">
        <f aca="false">I36-G36</f>
        <v>0</v>
      </c>
      <c r="L36" s="18" t="str">
        <f aca="false">IF(K36=0,"Sí","")</f>
        <v>Sí</v>
      </c>
      <c r="M36" s="19" t="n">
        <f aca="false">INDEX(Calendario!$B$3:$B$172,G36+1)</f>
        <v>46496</v>
      </c>
      <c r="N36" s="19" t="n">
        <f aca="false">INDEX(Calendario!$B$3:$B$172,H36)</f>
        <v>46507</v>
      </c>
    </row>
    <row r="37" customFormat="false" ht="15" hidden="false" customHeight="false" outlineLevel="0" collapsed="false">
      <c r="A37" s="4" t="s">
        <v>173</v>
      </c>
      <c r="B37" s="4" t="s">
        <v>174</v>
      </c>
      <c r="C37" s="4" t="s">
        <v>175</v>
      </c>
      <c r="D37" s="17" t="n">
        <v>10</v>
      </c>
      <c r="E37" s="4" t="s">
        <v>172</v>
      </c>
      <c r="F37" s="4"/>
      <c r="G37" s="13" t="n">
        <f aca="false">MAX(0,H35+FF_5x-D37)</f>
        <v>130</v>
      </c>
      <c r="H37" s="13" t="n">
        <f aca="false">G37+D37</f>
        <v>140</v>
      </c>
      <c r="I37" s="13" t="n">
        <f aca="false">J37-D37</f>
        <v>130</v>
      </c>
      <c r="J37" s="13" t="n">
        <f aca="false">J11-0</f>
        <v>140</v>
      </c>
      <c r="K37" s="13" t="n">
        <f aca="false">I37-G37</f>
        <v>0</v>
      </c>
      <c r="L37" s="18" t="str">
        <f aca="false">IF(K37=0,"Sí","")</f>
        <v>Sí</v>
      </c>
      <c r="M37" s="19" t="n">
        <f aca="false">INDEX(Calendario!$B$3:$B$172,G37+1)</f>
        <v>46496</v>
      </c>
      <c r="N37" s="19" t="n">
        <f aca="false">INDEX(Calendario!$B$3:$B$172,H37)</f>
        <v>46507</v>
      </c>
    </row>
    <row r="39" customFormat="false" ht="15" hidden="false" customHeight="false" outlineLevel="0" collapsed="false">
      <c r="A39" s="11" t="s">
        <v>176</v>
      </c>
    </row>
    <row r="40" customFormat="false" ht="15" hidden="false" customHeight="false" outlineLevel="0" collapsed="false">
      <c r="A40" s="25"/>
      <c r="B40" s="26" t="s">
        <v>177</v>
      </c>
    </row>
    <row r="41" customFormat="false" ht="15" hidden="false" customHeight="false" outlineLevel="0" collapsed="false">
      <c r="A41" s="27"/>
      <c r="B41" s="26" t="s">
        <v>178</v>
      </c>
    </row>
    <row r="42" customFormat="false" ht="15" hidden="false" customHeight="false" outlineLevel="0" collapsed="false">
      <c r="A42" s="28"/>
      <c r="B42" s="26" t="s">
        <v>179</v>
      </c>
    </row>
    <row r="43" customFormat="false" ht="15" hidden="false" customHeight="false" outlineLevel="0" collapsed="false">
      <c r="A43" s="29"/>
      <c r="B43" s="26" t="s">
        <v>180</v>
      </c>
    </row>
    <row r="45" customFormat="false" ht="15" hidden="false" customHeight="false" outlineLevel="0" collapsed="false">
      <c r="B45" s="2" t="s">
        <v>181</v>
      </c>
    </row>
  </sheetData>
  <conditionalFormatting sqref="O6:AT37">
    <cfRule type="expression" priority="2" aboveAverage="0" equalAverage="0" bottom="0" percent="0" rank="0" text="" dxfId="0">
      <formula>AND($A6="R-3",O$4+4&gt;=$M6,O$4&lt;=$N6)</formula>
    </cfRule>
    <cfRule type="expression" priority="3" aboveAverage="0" equalAverage="0" bottom="0" percent="0" rank="0" text="" dxfId="1">
      <formula>AND($L6="LOE",O$4+4&gt;=$M6,O$4&lt;=$N6)</formula>
    </cfRule>
    <cfRule type="expression" priority="4" aboveAverage="0" equalAverage="0" bottom="0" percent="0" rank="0" text="" dxfId="2">
      <formula>AND($L6="Sí",O$4+4&gt;=$M6,O$4&lt;=$N6)</formula>
    </cfRule>
    <cfRule type="expression" priority="5" aboveAverage="0" equalAverage="0" bottom="0" percent="0" rank="0" text="" dxfId="3">
      <formula>AND(O$4+4&gt;=$M6,O$4&lt;=$N6)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8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44"/>
    <col collapsed="false" customWidth="true" hidden="false" outlineLevel="0" max="3" min="3" style="0" width="7"/>
    <col collapsed="false" customWidth="true" hidden="false" outlineLevel="0" max="4" min="4" style="0" width="42"/>
    <col collapsed="false" customWidth="true" hidden="false" outlineLevel="0" max="6" min="5" style="0" width="13"/>
    <col collapsed="false" customWidth="true" hidden="false" outlineLevel="0" max="7" min="7" style="0" width="12"/>
    <col collapsed="false" customWidth="true" hidden="false" outlineLevel="0" max="9" min="8" style="0" width="13"/>
    <col collapsed="false" customWidth="true" hidden="false" outlineLevel="0" max="10" min="10" style="0" width="20"/>
    <col collapsed="false" customWidth="true" hidden="false" outlineLevel="0" max="12" min="11" style="0" width="6"/>
  </cols>
  <sheetData>
    <row r="1" customFormat="false" ht="17.35" hidden="false" customHeight="false" outlineLevel="0" collapsed="false">
      <c r="A1" s="1" t="s">
        <v>182</v>
      </c>
    </row>
    <row r="2" customFormat="false" ht="15" hidden="false" customHeight="false" outlineLevel="0" collapsed="false">
      <c r="A2" s="2" t="s">
        <v>183</v>
      </c>
    </row>
    <row r="4" customFormat="false" ht="23.85" hidden="false" customHeight="false" outlineLevel="0" collapsed="false">
      <c r="A4" s="3" t="s">
        <v>73</v>
      </c>
      <c r="B4" s="3" t="s">
        <v>37</v>
      </c>
      <c r="C4" s="3" t="s">
        <v>184</v>
      </c>
      <c r="D4" s="3" t="s">
        <v>185</v>
      </c>
      <c r="E4" s="3" t="s">
        <v>186</v>
      </c>
      <c r="F4" s="3" t="s">
        <v>187</v>
      </c>
      <c r="G4" s="3" t="s">
        <v>188</v>
      </c>
      <c r="H4" s="3" t="s">
        <v>189</v>
      </c>
      <c r="I4" s="3" t="s">
        <v>190</v>
      </c>
      <c r="J4" s="3" t="s">
        <v>191</v>
      </c>
      <c r="K4" s="3" t="s">
        <v>78</v>
      </c>
      <c r="L4" s="3" t="s">
        <v>79</v>
      </c>
    </row>
    <row r="5" customFormat="false" ht="15" hidden="false" customHeight="false" outlineLevel="0" collapsed="false">
      <c r="A5" s="4" t="s">
        <v>86</v>
      </c>
      <c r="B5" s="30" t="str">
        <f aca="false">INDEX(Tareas!$B$6:$B$37,MATCH($A5,Tareas!$A$6:$A$37,0))</f>
        <v>Acta de constitución</v>
      </c>
      <c r="C5" s="31" t="s">
        <v>88</v>
      </c>
      <c r="D5" s="30" t="str">
        <f aca="false">INDEX(Recursos!$B$5:$B$16,MATCH($C5,Recursos!$A$5:$A$16,0))</f>
        <v>Project Manager (Tandem)</v>
      </c>
      <c r="E5" s="32" t="n">
        <v>1</v>
      </c>
      <c r="F5" s="5" t="n">
        <f aca="false">INDEX(Tareas!$D$6:$D$37,MATCH($A5,Tareas!$A$6:$A$37,0))</f>
        <v>2</v>
      </c>
      <c r="G5" s="33" t="n">
        <f aca="false">E5*F5</f>
        <v>2</v>
      </c>
      <c r="H5" s="9" t="n">
        <f aca="false">INDEX(Recursos!$D$5:$D$16,MATCH($C5,Recursos!$A$5:$A$16,0))</f>
        <v>520</v>
      </c>
      <c r="I5" s="34" t="n">
        <f aca="false">G5*H5</f>
        <v>1040</v>
      </c>
      <c r="J5" s="30" t="str">
        <f aca="false">INDEX(Recursos!$C$5:$C$16,MATCH($C5,Recursos!$A$5:$A$16,0))</f>
        <v>Equipo Tandem</v>
      </c>
      <c r="K5" s="5" t="n">
        <f aca="false">INDEX(Tareas!$G$6:$G$37,MATCH($A5,Tareas!$A$6:$A$37,0))</f>
        <v>0</v>
      </c>
      <c r="L5" s="5" t="n">
        <f aca="false">INDEX(Tareas!$H$6:$H$37,MATCH($A5,Tareas!$A$6:$A$37,0))</f>
        <v>2</v>
      </c>
    </row>
    <row r="6" customFormat="false" ht="15" hidden="false" customHeight="false" outlineLevel="0" collapsed="false">
      <c r="A6" s="4" t="s">
        <v>90</v>
      </c>
      <c r="B6" s="30" t="str">
        <f aca="false">INDEX(Tareas!$B$6:$B$37,MATCH($A6,Tareas!$A$6:$A$37,0))</f>
        <v>Declaración del alcance y EDT</v>
      </c>
      <c r="C6" s="31" t="s">
        <v>88</v>
      </c>
      <c r="D6" s="30" t="str">
        <f aca="false">INDEX(Recursos!$B$5:$B$16,MATCH($C6,Recursos!$A$5:$A$16,0))</f>
        <v>Project Manager (Tandem)</v>
      </c>
      <c r="E6" s="32" t="n">
        <v>0.5</v>
      </c>
      <c r="F6" s="5" t="n">
        <f aca="false">INDEX(Tareas!$D$6:$D$37,MATCH($A6,Tareas!$A$6:$A$37,0))</f>
        <v>6</v>
      </c>
      <c r="G6" s="33" t="n">
        <f aca="false">E6*F6</f>
        <v>3</v>
      </c>
      <c r="H6" s="9" t="n">
        <f aca="false">INDEX(Recursos!$D$5:$D$16,MATCH($C6,Recursos!$A$5:$A$16,0))</f>
        <v>520</v>
      </c>
      <c r="I6" s="34" t="n">
        <f aca="false">G6*H6</f>
        <v>1560</v>
      </c>
      <c r="J6" s="30" t="str">
        <f aca="false">INDEX(Recursos!$C$5:$C$16,MATCH($C6,Recursos!$A$5:$A$16,0))</f>
        <v>Equipo Tandem</v>
      </c>
      <c r="K6" s="5" t="n">
        <f aca="false">INDEX(Tareas!$G$6:$G$37,MATCH($A6,Tareas!$A$6:$A$37,0))</f>
        <v>2</v>
      </c>
      <c r="L6" s="5" t="n">
        <f aca="false">INDEX(Tareas!$H$6:$H$37,MATCH($A6,Tareas!$A$6:$A$37,0))</f>
        <v>8</v>
      </c>
    </row>
    <row r="7" customFormat="false" ht="15" hidden="false" customHeight="false" outlineLevel="0" collapsed="false">
      <c r="A7" s="4" t="s">
        <v>90</v>
      </c>
      <c r="B7" s="30" t="str">
        <f aca="false">INDEX(Tareas!$B$6:$B$37,MATCH($A7,Tareas!$A$6:$A$37,0))</f>
        <v>Declaración del alcance y EDT</v>
      </c>
      <c r="C7" s="31" t="s">
        <v>105</v>
      </c>
      <c r="D7" s="30" t="str">
        <f aca="false">INDEX(Recursos!$B$5:$B$16,MATCH($C7,Recursos!$A$5:$A$16,0))</f>
        <v>Product Owner (Tandem)</v>
      </c>
      <c r="E7" s="32" t="n">
        <v>0.2</v>
      </c>
      <c r="F7" s="5" t="n">
        <f aca="false">INDEX(Tareas!$D$6:$D$37,MATCH($A7,Tareas!$A$6:$A$37,0))</f>
        <v>6</v>
      </c>
      <c r="G7" s="33" t="n">
        <f aca="false">E7*F7</f>
        <v>1.2</v>
      </c>
      <c r="H7" s="9" t="n">
        <f aca="false">INDEX(Recursos!$D$5:$D$16,MATCH($C7,Recursos!$A$5:$A$16,0))</f>
        <v>480</v>
      </c>
      <c r="I7" s="34" t="n">
        <f aca="false">G7*H7</f>
        <v>576</v>
      </c>
      <c r="J7" s="30" t="str">
        <f aca="false">INDEX(Recursos!$C$5:$C$16,MATCH($C7,Recursos!$A$5:$A$16,0))</f>
        <v>Equipo Tandem</v>
      </c>
      <c r="K7" s="5" t="n">
        <f aca="false">INDEX(Tareas!$G$6:$G$37,MATCH($A7,Tareas!$A$6:$A$37,0))</f>
        <v>2</v>
      </c>
      <c r="L7" s="5" t="n">
        <f aca="false">INDEX(Tareas!$H$6:$H$37,MATCH($A7,Tareas!$A$6:$A$37,0))</f>
        <v>8</v>
      </c>
    </row>
    <row r="8" customFormat="false" ht="15" hidden="false" customHeight="false" outlineLevel="0" collapsed="false">
      <c r="A8" s="4" t="s">
        <v>92</v>
      </c>
      <c r="B8" s="30" t="str">
        <f aca="false">INDEX(Tareas!$B$6:$B$37,MATCH($A8,Tareas!$A$6:$A$37,0))</f>
        <v>Cronograma, presupuesto y línea base</v>
      </c>
      <c r="C8" s="31" t="s">
        <v>88</v>
      </c>
      <c r="D8" s="30" t="str">
        <f aca="false">INDEX(Recursos!$B$5:$B$16,MATCH($C8,Recursos!$A$5:$A$16,0))</f>
        <v>Project Manager (Tandem)</v>
      </c>
      <c r="E8" s="32" t="n">
        <v>0.3</v>
      </c>
      <c r="F8" s="5" t="n">
        <f aca="false">INDEX(Tareas!$D$6:$D$37,MATCH($A8,Tareas!$A$6:$A$37,0))</f>
        <v>6</v>
      </c>
      <c r="G8" s="33" t="n">
        <f aca="false">E8*F8</f>
        <v>1.8</v>
      </c>
      <c r="H8" s="9" t="n">
        <f aca="false">INDEX(Recursos!$D$5:$D$16,MATCH($C8,Recursos!$A$5:$A$16,0))</f>
        <v>520</v>
      </c>
      <c r="I8" s="34" t="n">
        <f aca="false">G8*H8</f>
        <v>936</v>
      </c>
      <c r="J8" s="30" t="str">
        <f aca="false">INDEX(Recursos!$C$5:$C$16,MATCH($C8,Recursos!$A$5:$A$16,0))</f>
        <v>Equipo Tandem</v>
      </c>
      <c r="K8" s="5" t="n">
        <f aca="false">INDEX(Tareas!$G$6:$G$37,MATCH($A8,Tareas!$A$6:$A$37,0))</f>
        <v>2</v>
      </c>
      <c r="L8" s="5" t="n">
        <f aca="false">INDEX(Tareas!$H$6:$H$37,MATCH($A8,Tareas!$A$6:$A$37,0))</f>
        <v>8</v>
      </c>
    </row>
    <row r="9" customFormat="false" ht="15" hidden="false" customHeight="false" outlineLevel="0" collapsed="false">
      <c r="A9" s="4" t="s">
        <v>94</v>
      </c>
      <c r="B9" s="30" t="str">
        <f aca="false">INDEX(Tareas!$B$6:$B$37,MATCH($A9,Tareas!$A$6:$A$37,0))</f>
        <v>Registro de riesgos e interesados</v>
      </c>
      <c r="C9" s="31" t="s">
        <v>88</v>
      </c>
      <c r="D9" s="30" t="str">
        <f aca="false">INDEX(Recursos!$B$5:$B$16,MATCH($C9,Recursos!$A$5:$A$16,0))</f>
        <v>Project Manager (Tandem)</v>
      </c>
      <c r="E9" s="32" t="n">
        <v>0.2</v>
      </c>
      <c r="F9" s="5" t="n">
        <f aca="false">INDEX(Tareas!$D$6:$D$37,MATCH($A9,Tareas!$A$6:$A$37,0))</f>
        <v>5</v>
      </c>
      <c r="G9" s="33" t="n">
        <f aca="false">E9*F9</f>
        <v>1</v>
      </c>
      <c r="H9" s="9" t="n">
        <f aca="false">INDEX(Recursos!$D$5:$D$16,MATCH($C9,Recursos!$A$5:$A$16,0))</f>
        <v>520</v>
      </c>
      <c r="I9" s="34" t="n">
        <f aca="false">G9*H9</f>
        <v>520</v>
      </c>
      <c r="J9" s="30" t="str">
        <f aca="false">INDEX(Recursos!$C$5:$C$16,MATCH($C9,Recursos!$A$5:$A$16,0))</f>
        <v>Equipo Tandem</v>
      </c>
      <c r="K9" s="5" t="n">
        <f aca="false">INDEX(Tareas!$G$6:$G$37,MATCH($A9,Tareas!$A$6:$A$37,0))</f>
        <v>2</v>
      </c>
      <c r="L9" s="5" t="n">
        <f aca="false">INDEX(Tareas!$H$6:$H$37,MATCH($A9,Tareas!$A$6:$A$37,0))</f>
        <v>7</v>
      </c>
    </row>
    <row r="10" customFormat="false" ht="15" hidden="false" customHeight="false" outlineLevel="0" collapsed="false">
      <c r="A10" s="4" t="s">
        <v>94</v>
      </c>
      <c r="B10" s="30" t="str">
        <f aca="false">INDEX(Tareas!$B$6:$B$37,MATCH($A10,Tareas!$A$6:$A$37,0))</f>
        <v>Registro de riesgos e interesados</v>
      </c>
      <c r="C10" s="31" t="s">
        <v>192</v>
      </c>
      <c r="D10" s="30" t="str">
        <f aca="false">INDEX(Recursos!$B$5:$B$16,MATCH($C10,Recursos!$A$5:$A$16,0))</f>
        <v>RR.HH. VCA (S. Ibarra / referente)</v>
      </c>
      <c r="E10" s="32" t="n">
        <v>0.1</v>
      </c>
      <c r="F10" s="5" t="n">
        <f aca="false">INDEX(Tareas!$D$6:$D$37,MATCH($A10,Tareas!$A$6:$A$37,0))</f>
        <v>5</v>
      </c>
      <c r="G10" s="33" t="n">
        <f aca="false">E10*F10</f>
        <v>0.5</v>
      </c>
      <c r="H10" s="9" t="n">
        <f aca="false">INDEX(Recursos!$D$5:$D$16,MATCH($C10,Recursos!$A$5:$A$16,0))</f>
        <v>160</v>
      </c>
      <c r="I10" s="34" t="n">
        <f aca="false">G10*H10</f>
        <v>80</v>
      </c>
      <c r="J10" s="30" t="str">
        <f aca="false">INDEX(Recursos!$C$5:$C$16,MATCH($C10,Recursos!$A$5:$A$16,0))</f>
        <v>Horas VCA</v>
      </c>
      <c r="K10" s="5" t="n">
        <f aca="false">INDEX(Tareas!$G$6:$G$37,MATCH($A10,Tareas!$A$6:$A$37,0))</f>
        <v>2</v>
      </c>
      <c r="L10" s="5" t="n">
        <f aca="false">INDEX(Tareas!$H$6:$H$37,MATCH($A10,Tareas!$A$6:$A$37,0))</f>
        <v>7</v>
      </c>
    </row>
    <row r="11" customFormat="false" ht="15" hidden="false" customHeight="false" outlineLevel="0" collapsed="false">
      <c r="A11" s="4" t="s">
        <v>96</v>
      </c>
      <c r="B11" s="30" t="str">
        <f aca="false">INDEX(Tareas!$B$6:$B$37,MATCH($A11,Tareas!$A$6:$A$37,0))</f>
        <v>Seguimiento, cambios e informes (tarea resumen)</v>
      </c>
      <c r="C11" s="31" t="s">
        <v>88</v>
      </c>
      <c r="D11" s="30" t="str">
        <f aca="false">INDEX(Recursos!$B$5:$B$16,MATCH($C11,Recursos!$A$5:$A$16,0))</f>
        <v>Project Manager (Tandem)</v>
      </c>
      <c r="E11" s="32" t="n">
        <v>0.5</v>
      </c>
      <c r="F11" s="5" t="n">
        <f aca="false">INDEX(Tareas!$D$6:$D$37,MATCH($A11,Tareas!$A$6:$A$37,0))</f>
        <v>132</v>
      </c>
      <c r="G11" s="33" t="n">
        <f aca="false">E11*F11</f>
        <v>66</v>
      </c>
      <c r="H11" s="9" t="n">
        <f aca="false">INDEX(Recursos!$D$5:$D$16,MATCH($C11,Recursos!$A$5:$A$16,0))</f>
        <v>520</v>
      </c>
      <c r="I11" s="34" t="n">
        <f aca="false">G11*H11</f>
        <v>34320</v>
      </c>
      <c r="J11" s="30" t="str">
        <f aca="false">INDEX(Recursos!$C$5:$C$16,MATCH($C11,Recursos!$A$5:$A$16,0))</f>
        <v>Equipo Tandem</v>
      </c>
      <c r="K11" s="5" t="n">
        <f aca="false">INDEX(Tareas!$G$6:$G$37,MATCH($A11,Tareas!$A$6:$A$37,0))</f>
        <v>8</v>
      </c>
      <c r="L11" s="5" t="n">
        <f aca="false">INDEX(Tareas!$H$6:$H$37,MATCH($A11,Tareas!$A$6:$A$37,0))</f>
        <v>140</v>
      </c>
    </row>
    <row r="12" customFormat="false" ht="15" hidden="false" customHeight="false" outlineLevel="0" collapsed="false">
      <c r="A12" s="4" t="s">
        <v>100</v>
      </c>
      <c r="B12" s="30" t="str">
        <f aca="false">INDEX(Tareas!$B$6:$B$37,MATCH($A12,Tareas!$A$6:$A$37,0))</f>
        <v>Cierre y lecciones aprendidas</v>
      </c>
      <c r="C12" s="31" t="s">
        <v>88</v>
      </c>
      <c r="D12" s="30" t="str">
        <f aca="false">INDEX(Recursos!$B$5:$B$16,MATCH($C12,Recursos!$A$5:$A$16,0))</f>
        <v>Project Manager (Tandem)</v>
      </c>
      <c r="E12" s="32" t="n">
        <v>0.3</v>
      </c>
      <c r="F12" s="5" t="n">
        <f aca="false">INDEX(Tareas!$D$6:$D$37,MATCH($A12,Tareas!$A$6:$A$37,0))</f>
        <v>5</v>
      </c>
      <c r="G12" s="33" t="n">
        <f aca="false">E12*F12</f>
        <v>1.5</v>
      </c>
      <c r="H12" s="9" t="n">
        <f aca="false">INDEX(Recursos!$D$5:$D$16,MATCH($C12,Recursos!$A$5:$A$16,0))</f>
        <v>520</v>
      </c>
      <c r="I12" s="34" t="n">
        <f aca="false">G12*H12</f>
        <v>780</v>
      </c>
      <c r="J12" s="30" t="str">
        <f aca="false">INDEX(Recursos!$C$5:$C$16,MATCH($C12,Recursos!$A$5:$A$16,0))</f>
        <v>Equipo Tandem</v>
      </c>
      <c r="K12" s="5" t="n">
        <f aca="false">INDEX(Tareas!$G$6:$G$37,MATCH($A12,Tareas!$A$6:$A$37,0))</f>
        <v>135</v>
      </c>
      <c r="L12" s="5" t="n">
        <f aca="false">INDEX(Tareas!$H$6:$H$37,MATCH($A12,Tareas!$A$6:$A$37,0))</f>
        <v>140</v>
      </c>
    </row>
    <row r="13" customFormat="false" ht="15" hidden="false" customHeight="false" outlineLevel="0" collapsed="false">
      <c r="A13" s="4" t="s">
        <v>100</v>
      </c>
      <c r="B13" s="30" t="str">
        <f aca="false">INDEX(Tareas!$B$6:$B$37,MATCH($A13,Tareas!$A$6:$A$37,0))</f>
        <v>Cierre y lecciones aprendidas</v>
      </c>
      <c r="C13" s="31" t="s">
        <v>105</v>
      </c>
      <c r="D13" s="30" t="str">
        <f aca="false">INDEX(Recursos!$B$5:$B$16,MATCH($C13,Recursos!$A$5:$A$16,0))</f>
        <v>Product Owner (Tandem)</v>
      </c>
      <c r="E13" s="32" t="n">
        <v>0.1</v>
      </c>
      <c r="F13" s="5" t="n">
        <f aca="false">INDEX(Tareas!$D$6:$D$37,MATCH($A13,Tareas!$A$6:$A$37,0))</f>
        <v>5</v>
      </c>
      <c r="G13" s="33" t="n">
        <f aca="false">E13*F13</f>
        <v>0.5</v>
      </c>
      <c r="H13" s="9" t="n">
        <f aca="false">INDEX(Recursos!$D$5:$D$16,MATCH($C13,Recursos!$A$5:$A$16,0))</f>
        <v>480</v>
      </c>
      <c r="I13" s="34" t="n">
        <f aca="false">G13*H13</f>
        <v>240</v>
      </c>
      <c r="J13" s="30" t="str">
        <f aca="false">INDEX(Recursos!$C$5:$C$16,MATCH($C13,Recursos!$A$5:$A$16,0))</f>
        <v>Equipo Tandem</v>
      </c>
      <c r="K13" s="5" t="n">
        <f aca="false">INDEX(Tareas!$G$6:$G$37,MATCH($A13,Tareas!$A$6:$A$37,0))</f>
        <v>135</v>
      </c>
      <c r="L13" s="5" t="n">
        <f aca="false">INDEX(Tareas!$H$6:$H$37,MATCH($A13,Tareas!$A$6:$A$37,0))</f>
        <v>140</v>
      </c>
    </row>
    <row r="14" customFormat="false" ht="15" hidden="false" customHeight="false" outlineLevel="0" collapsed="false">
      <c r="A14" s="4" t="s">
        <v>103</v>
      </c>
      <c r="B14" s="30" t="str">
        <f aca="false">INDEX(Tareas!$B$6:$B$37,MATCH($A14,Tareas!$A$6:$A$37,0))</f>
        <v>Relevamiento y reglas de negocio</v>
      </c>
      <c r="C14" s="31" t="s">
        <v>105</v>
      </c>
      <c r="D14" s="30" t="str">
        <f aca="false">INDEX(Recursos!$B$5:$B$16,MATCH($C14,Recursos!$A$5:$A$16,0))</f>
        <v>Product Owner (Tandem)</v>
      </c>
      <c r="E14" s="32" t="n">
        <v>1</v>
      </c>
      <c r="F14" s="5" t="n">
        <f aca="false">INDEX(Tareas!$D$6:$D$37,MATCH($A14,Tareas!$A$6:$A$37,0))</f>
        <v>10</v>
      </c>
      <c r="G14" s="33" t="n">
        <f aca="false">E14*F14</f>
        <v>10</v>
      </c>
      <c r="H14" s="9" t="n">
        <f aca="false">INDEX(Recursos!$D$5:$D$16,MATCH($C14,Recursos!$A$5:$A$16,0))</f>
        <v>480</v>
      </c>
      <c r="I14" s="34" t="n">
        <f aca="false">G14*H14</f>
        <v>4800</v>
      </c>
      <c r="J14" s="30" t="str">
        <f aca="false">INDEX(Recursos!$C$5:$C$16,MATCH($C14,Recursos!$A$5:$A$16,0))</f>
        <v>Equipo Tandem</v>
      </c>
      <c r="K14" s="5" t="n">
        <f aca="false">INDEX(Tareas!$G$6:$G$37,MATCH($A14,Tareas!$A$6:$A$37,0))</f>
        <v>8</v>
      </c>
      <c r="L14" s="5" t="n">
        <f aca="false">INDEX(Tareas!$H$6:$H$37,MATCH($A14,Tareas!$A$6:$A$37,0))</f>
        <v>18</v>
      </c>
    </row>
    <row r="15" customFormat="false" ht="15" hidden="false" customHeight="false" outlineLevel="0" collapsed="false">
      <c r="A15" s="4" t="s">
        <v>103</v>
      </c>
      <c r="B15" s="30" t="str">
        <f aca="false">INDEX(Tareas!$B$6:$B$37,MATCH($A15,Tareas!$A$6:$A$37,0))</f>
        <v>Relevamiento y reglas de negocio</v>
      </c>
      <c r="C15" s="31" t="s">
        <v>88</v>
      </c>
      <c r="D15" s="30" t="str">
        <f aca="false">INDEX(Recursos!$B$5:$B$16,MATCH($C15,Recursos!$A$5:$A$16,0))</f>
        <v>Project Manager (Tandem)</v>
      </c>
      <c r="E15" s="32" t="n">
        <v>0.2</v>
      </c>
      <c r="F15" s="5" t="n">
        <f aca="false">INDEX(Tareas!$D$6:$D$37,MATCH($A15,Tareas!$A$6:$A$37,0))</f>
        <v>10</v>
      </c>
      <c r="G15" s="33" t="n">
        <f aca="false">E15*F15</f>
        <v>2</v>
      </c>
      <c r="H15" s="9" t="n">
        <f aca="false">INDEX(Recursos!$D$5:$D$16,MATCH($C15,Recursos!$A$5:$A$16,0))</f>
        <v>520</v>
      </c>
      <c r="I15" s="34" t="n">
        <f aca="false">G15*H15</f>
        <v>1040</v>
      </c>
      <c r="J15" s="30" t="str">
        <f aca="false">INDEX(Recursos!$C$5:$C$16,MATCH($C15,Recursos!$A$5:$A$16,0))</f>
        <v>Equipo Tandem</v>
      </c>
      <c r="K15" s="5" t="n">
        <f aca="false">INDEX(Tareas!$G$6:$G$37,MATCH($A15,Tareas!$A$6:$A$37,0))</f>
        <v>8</v>
      </c>
      <c r="L15" s="5" t="n">
        <f aca="false">INDEX(Tareas!$H$6:$H$37,MATCH($A15,Tareas!$A$6:$A$37,0))</f>
        <v>18</v>
      </c>
    </row>
    <row r="16" customFormat="false" ht="15" hidden="false" customHeight="false" outlineLevel="0" collapsed="false">
      <c r="A16" s="4" t="s">
        <v>103</v>
      </c>
      <c r="B16" s="30" t="str">
        <f aca="false">INDEX(Tareas!$B$6:$B$37,MATCH($A16,Tareas!$A$6:$A$37,0))</f>
        <v>Relevamiento y reglas de negocio</v>
      </c>
      <c r="C16" s="31" t="s">
        <v>193</v>
      </c>
      <c r="D16" s="30" t="str">
        <f aca="false">INDEX(Recursos!$B$5:$B$16,MATCH($C16,Recursos!$A$5:$A$16,0))</f>
        <v>Servicios Generales VCA (D. Sosa)</v>
      </c>
      <c r="E16" s="32" t="n">
        <v>0.2</v>
      </c>
      <c r="F16" s="5" t="n">
        <f aca="false">INDEX(Tareas!$D$6:$D$37,MATCH($A16,Tareas!$A$6:$A$37,0))</f>
        <v>10</v>
      </c>
      <c r="G16" s="33" t="n">
        <f aca="false">E16*F16</f>
        <v>2</v>
      </c>
      <c r="H16" s="9" t="n">
        <f aca="false">INDEX(Recursos!$D$5:$D$16,MATCH($C16,Recursos!$A$5:$A$16,0))</f>
        <v>170</v>
      </c>
      <c r="I16" s="34" t="n">
        <f aca="false">G16*H16</f>
        <v>340</v>
      </c>
      <c r="J16" s="30" t="str">
        <f aca="false">INDEX(Recursos!$C$5:$C$16,MATCH($C16,Recursos!$A$5:$A$16,0))</f>
        <v>Horas VCA</v>
      </c>
      <c r="K16" s="5" t="n">
        <f aca="false">INDEX(Tareas!$G$6:$G$37,MATCH($A16,Tareas!$A$6:$A$37,0))</f>
        <v>8</v>
      </c>
      <c r="L16" s="5" t="n">
        <f aca="false">INDEX(Tareas!$H$6:$H$37,MATCH($A16,Tareas!$A$6:$A$37,0))</f>
        <v>18</v>
      </c>
    </row>
    <row r="17" customFormat="false" ht="15" hidden="false" customHeight="false" outlineLevel="0" collapsed="false">
      <c r="A17" s="4" t="s">
        <v>103</v>
      </c>
      <c r="B17" s="30" t="str">
        <f aca="false">INDEX(Tareas!$B$6:$B$37,MATCH($A17,Tareas!$A$6:$A$37,0))</f>
        <v>Relevamiento y reglas de negocio</v>
      </c>
      <c r="C17" s="31" t="s">
        <v>192</v>
      </c>
      <c r="D17" s="30" t="str">
        <f aca="false">INDEX(Recursos!$B$5:$B$16,MATCH($C17,Recursos!$A$5:$A$16,0))</f>
        <v>RR.HH. VCA (S. Ibarra / referente)</v>
      </c>
      <c r="E17" s="32" t="n">
        <v>0.1</v>
      </c>
      <c r="F17" s="5" t="n">
        <f aca="false">INDEX(Tareas!$D$6:$D$37,MATCH($A17,Tareas!$A$6:$A$37,0))</f>
        <v>10</v>
      </c>
      <c r="G17" s="33" t="n">
        <f aca="false">E17*F17</f>
        <v>1</v>
      </c>
      <c r="H17" s="9" t="n">
        <f aca="false">INDEX(Recursos!$D$5:$D$16,MATCH($C17,Recursos!$A$5:$A$16,0))</f>
        <v>160</v>
      </c>
      <c r="I17" s="34" t="n">
        <f aca="false">G17*H17</f>
        <v>160</v>
      </c>
      <c r="J17" s="30" t="str">
        <f aca="false">INDEX(Recursos!$C$5:$C$16,MATCH($C17,Recursos!$A$5:$A$16,0))</f>
        <v>Horas VCA</v>
      </c>
      <c r="K17" s="5" t="n">
        <f aca="false">INDEX(Tareas!$G$6:$G$37,MATCH($A17,Tareas!$A$6:$A$37,0))</f>
        <v>8</v>
      </c>
      <c r="L17" s="5" t="n">
        <f aca="false">INDEX(Tareas!$H$6:$H$37,MATCH($A17,Tareas!$A$6:$A$37,0))</f>
        <v>18</v>
      </c>
    </row>
    <row r="18" customFormat="false" ht="15" hidden="false" customHeight="false" outlineLevel="0" collapsed="false">
      <c r="A18" s="4" t="s">
        <v>103</v>
      </c>
      <c r="B18" s="30" t="str">
        <f aca="false">INDEX(Tareas!$B$6:$B$37,MATCH($A18,Tareas!$A$6:$A$37,0))</f>
        <v>Relevamiento y reglas de negocio</v>
      </c>
      <c r="C18" s="31" t="s">
        <v>138</v>
      </c>
      <c r="D18" s="30" t="str">
        <f aca="false">INDEX(Recursos!$B$5:$B$16,MATCH($C18,Recursos!$A$5:$A$16,0))</f>
        <v>Especialista QA (Tandem)</v>
      </c>
      <c r="E18" s="32" t="n">
        <v>0.2</v>
      </c>
      <c r="F18" s="5" t="n">
        <f aca="false">INDEX(Tareas!$D$6:$D$37,MATCH($A18,Tareas!$A$6:$A$37,0))</f>
        <v>10</v>
      </c>
      <c r="G18" s="33" t="n">
        <f aca="false">E18*F18</f>
        <v>2</v>
      </c>
      <c r="H18" s="9" t="n">
        <f aca="false">INDEX(Recursos!$D$5:$D$16,MATCH($C18,Recursos!$A$5:$A$16,0))</f>
        <v>360</v>
      </c>
      <c r="I18" s="34" t="n">
        <f aca="false">G18*H18</f>
        <v>720</v>
      </c>
      <c r="J18" s="30" t="str">
        <f aca="false">INDEX(Recursos!$C$5:$C$16,MATCH($C18,Recursos!$A$5:$A$16,0))</f>
        <v>Equipo Tandem</v>
      </c>
      <c r="K18" s="5" t="n">
        <f aca="false">INDEX(Tareas!$G$6:$G$37,MATCH($A18,Tareas!$A$6:$A$37,0))</f>
        <v>8</v>
      </c>
      <c r="L18" s="5" t="n">
        <f aca="false">INDEX(Tareas!$H$6:$H$37,MATCH($A18,Tareas!$A$6:$A$37,0))</f>
        <v>18</v>
      </c>
    </row>
    <row r="19" customFormat="false" ht="15" hidden="false" customHeight="false" outlineLevel="0" collapsed="false">
      <c r="A19" s="4" t="s">
        <v>106</v>
      </c>
      <c r="B19" s="30" t="str">
        <f aca="false">INDEX(Tareas!$B$6:$B$37,MATCH($A19,Tareas!$A$6:$A$37,0))</f>
        <v>Planos e inventario de espacios</v>
      </c>
      <c r="C19" s="31" t="s">
        <v>193</v>
      </c>
      <c r="D19" s="30" t="str">
        <f aca="false">INDEX(Recursos!$B$5:$B$16,MATCH($C19,Recursos!$A$5:$A$16,0))</f>
        <v>Servicios Generales VCA (D. Sosa)</v>
      </c>
      <c r="E19" s="32" t="n">
        <v>0.5</v>
      </c>
      <c r="F19" s="5" t="n">
        <f aca="false">INDEX(Tareas!$D$6:$D$37,MATCH($A19,Tareas!$A$6:$A$37,0))</f>
        <v>15</v>
      </c>
      <c r="G19" s="33" t="n">
        <f aca="false">E19*F19</f>
        <v>7.5</v>
      </c>
      <c r="H19" s="9" t="n">
        <f aca="false">INDEX(Recursos!$D$5:$D$16,MATCH($C19,Recursos!$A$5:$A$16,0))</f>
        <v>170</v>
      </c>
      <c r="I19" s="34" t="n">
        <f aca="false">G19*H19</f>
        <v>1275</v>
      </c>
      <c r="J19" s="30" t="str">
        <f aca="false">INDEX(Recursos!$C$5:$C$16,MATCH($C19,Recursos!$A$5:$A$16,0))</f>
        <v>Horas VCA</v>
      </c>
      <c r="K19" s="5" t="n">
        <f aca="false">INDEX(Tareas!$G$6:$G$37,MATCH($A19,Tareas!$A$6:$A$37,0))</f>
        <v>18</v>
      </c>
      <c r="L19" s="5" t="n">
        <f aca="false">INDEX(Tareas!$H$6:$H$37,MATCH($A19,Tareas!$A$6:$A$37,0))</f>
        <v>33</v>
      </c>
    </row>
    <row r="20" customFormat="false" ht="15" hidden="false" customHeight="false" outlineLevel="0" collapsed="false">
      <c r="A20" s="4" t="s">
        <v>106</v>
      </c>
      <c r="B20" s="30" t="str">
        <f aca="false">INDEX(Tareas!$B$6:$B$37,MATCH($A20,Tareas!$A$6:$A$37,0))</f>
        <v>Planos e inventario de espacios</v>
      </c>
      <c r="C20" s="31" t="s">
        <v>194</v>
      </c>
      <c r="D20" s="30" t="str">
        <f aca="false">INDEX(Recursos!$B$5:$B$16,MATCH($C20,Recursos!$A$5:$A$16,0))</f>
        <v>Ingeniero/a DevOps (Tandem)</v>
      </c>
      <c r="E20" s="32" t="n">
        <v>0.2</v>
      </c>
      <c r="F20" s="5" t="n">
        <f aca="false">INDEX(Tareas!$D$6:$D$37,MATCH($A20,Tareas!$A$6:$A$37,0))</f>
        <v>15</v>
      </c>
      <c r="G20" s="33" t="n">
        <f aca="false">E20*F20</f>
        <v>3</v>
      </c>
      <c r="H20" s="9" t="n">
        <f aca="false">INDEX(Recursos!$D$5:$D$16,MATCH($C20,Recursos!$A$5:$A$16,0))</f>
        <v>460</v>
      </c>
      <c r="I20" s="34" t="n">
        <f aca="false">G20*H20</f>
        <v>1380</v>
      </c>
      <c r="J20" s="30" t="str">
        <f aca="false">INDEX(Recursos!$C$5:$C$16,MATCH($C20,Recursos!$A$5:$A$16,0))</f>
        <v>Ambientes</v>
      </c>
      <c r="K20" s="5" t="n">
        <f aca="false">INDEX(Tareas!$G$6:$G$37,MATCH($A20,Tareas!$A$6:$A$37,0))</f>
        <v>18</v>
      </c>
      <c r="L20" s="5" t="n">
        <f aca="false">INDEX(Tareas!$H$6:$H$37,MATCH($A20,Tareas!$A$6:$A$37,0))</f>
        <v>33</v>
      </c>
    </row>
    <row r="21" customFormat="false" ht="15" hidden="false" customHeight="false" outlineLevel="0" collapsed="false">
      <c r="A21" s="4" t="s">
        <v>109</v>
      </c>
      <c r="B21" s="30" t="str">
        <f aca="false">INDEX(Tareas!$B$6:$B$37,MATCH($A21,Tareas!$A$6:$A$37,0))</f>
        <v>Módulo de reserva de escritorios</v>
      </c>
      <c r="C21" s="31" t="s">
        <v>195</v>
      </c>
      <c r="D21" s="30" t="str">
        <f aca="false">INDEX(Recursos!$B$5:$B$16,MATCH($C21,Recursos!$A$5:$A$16,0))</f>
        <v>Desarrollador/a full-stack (Tandem)</v>
      </c>
      <c r="E21" s="32" t="n">
        <v>1</v>
      </c>
      <c r="F21" s="5" t="n">
        <f aca="false">INDEX(Tareas!$D$6:$D$37,MATCH($A21,Tareas!$A$6:$A$37,0))</f>
        <v>18</v>
      </c>
      <c r="G21" s="33" t="n">
        <f aca="false">E21*F21</f>
        <v>18</v>
      </c>
      <c r="H21" s="9" t="n">
        <f aca="false">INDEX(Recursos!$D$5:$D$16,MATCH($C21,Recursos!$A$5:$A$16,0))</f>
        <v>440</v>
      </c>
      <c r="I21" s="34" t="n">
        <f aca="false">G21*H21</f>
        <v>7920</v>
      </c>
      <c r="J21" s="30" t="str">
        <f aca="false">INDEX(Recursos!$C$5:$C$16,MATCH($C21,Recursos!$A$5:$A$16,0))</f>
        <v>Equipo Tandem</v>
      </c>
      <c r="K21" s="5" t="n">
        <f aca="false">INDEX(Tareas!$G$6:$G$37,MATCH($A21,Tareas!$A$6:$A$37,0))</f>
        <v>13</v>
      </c>
      <c r="L21" s="5" t="n">
        <f aca="false">INDEX(Tareas!$H$6:$H$37,MATCH($A21,Tareas!$A$6:$A$37,0))</f>
        <v>31</v>
      </c>
    </row>
    <row r="22" customFormat="false" ht="15" hidden="false" customHeight="false" outlineLevel="0" collapsed="false">
      <c r="A22" s="4" t="s">
        <v>109</v>
      </c>
      <c r="B22" s="30" t="str">
        <f aca="false">INDEX(Tareas!$B$6:$B$37,MATCH($A22,Tareas!$A$6:$A$37,0))</f>
        <v>Módulo de reserva de escritorios</v>
      </c>
      <c r="C22" s="31" t="s">
        <v>196</v>
      </c>
      <c r="D22" s="30" t="str">
        <f aca="false">INDEX(Recursos!$B$5:$B$16,MATCH($C22,Recursos!$A$5:$A$16,0))</f>
        <v>Diseñador/a UX/UI (Tandem)</v>
      </c>
      <c r="E22" s="32" t="n">
        <v>0.2</v>
      </c>
      <c r="F22" s="5" t="n">
        <f aca="false">INDEX(Tareas!$D$6:$D$37,MATCH($A22,Tareas!$A$6:$A$37,0))</f>
        <v>18</v>
      </c>
      <c r="G22" s="33" t="n">
        <f aca="false">E22*F22</f>
        <v>3.6</v>
      </c>
      <c r="H22" s="9" t="n">
        <f aca="false">INDEX(Recursos!$D$5:$D$16,MATCH($C22,Recursos!$A$5:$A$16,0))</f>
        <v>420</v>
      </c>
      <c r="I22" s="34" t="n">
        <f aca="false">G22*H22</f>
        <v>1512</v>
      </c>
      <c r="J22" s="30" t="str">
        <f aca="false">INDEX(Recursos!$C$5:$C$16,MATCH($C22,Recursos!$A$5:$A$16,0))</f>
        <v>Equipo Tandem</v>
      </c>
      <c r="K22" s="5" t="n">
        <f aca="false">INDEX(Tareas!$G$6:$G$37,MATCH($A22,Tareas!$A$6:$A$37,0))</f>
        <v>13</v>
      </c>
      <c r="L22" s="5" t="n">
        <f aca="false">INDEX(Tareas!$H$6:$H$37,MATCH($A22,Tareas!$A$6:$A$37,0))</f>
        <v>31</v>
      </c>
    </row>
    <row r="23" customFormat="false" ht="15" hidden="false" customHeight="false" outlineLevel="0" collapsed="false">
      <c r="A23" s="4" t="s">
        <v>109</v>
      </c>
      <c r="B23" s="30" t="str">
        <f aca="false">INDEX(Tareas!$B$6:$B$37,MATCH($A23,Tareas!$A$6:$A$37,0))</f>
        <v>Módulo de reserva de escritorios</v>
      </c>
      <c r="C23" s="31" t="s">
        <v>138</v>
      </c>
      <c r="D23" s="30" t="str">
        <f aca="false">INDEX(Recursos!$B$5:$B$16,MATCH($C23,Recursos!$A$5:$A$16,0))</f>
        <v>Especialista QA (Tandem)</v>
      </c>
      <c r="E23" s="32" t="n">
        <v>0.2</v>
      </c>
      <c r="F23" s="5" t="n">
        <f aca="false">INDEX(Tareas!$D$6:$D$37,MATCH($A23,Tareas!$A$6:$A$37,0))</f>
        <v>18</v>
      </c>
      <c r="G23" s="33" t="n">
        <f aca="false">E23*F23</f>
        <v>3.6</v>
      </c>
      <c r="H23" s="9" t="n">
        <f aca="false">INDEX(Recursos!$D$5:$D$16,MATCH($C23,Recursos!$A$5:$A$16,0))</f>
        <v>360</v>
      </c>
      <c r="I23" s="34" t="n">
        <f aca="false">G23*H23</f>
        <v>1296</v>
      </c>
      <c r="J23" s="30" t="str">
        <f aca="false">INDEX(Recursos!$C$5:$C$16,MATCH($C23,Recursos!$A$5:$A$16,0))</f>
        <v>Equipo Tandem</v>
      </c>
      <c r="K23" s="5" t="n">
        <f aca="false">INDEX(Tareas!$G$6:$G$37,MATCH($A23,Tareas!$A$6:$A$37,0))</f>
        <v>13</v>
      </c>
      <c r="L23" s="5" t="n">
        <f aca="false">INDEX(Tareas!$H$6:$H$37,MATCH($A23,Tareas!$A$6:$A$37,0))</f>
        <v>31</v>
      </c>
    </row>
    <row r="24" customFormat="false" ht="15" hidden="false" customHeight="false" outlineLevel="0" collapsed="false">
      <c r="A24" s="4" t="s">
        <v>113</v>
      </c>
      <c r="B24" s="30" t="str">
        <f aca="false">INDEX(Tareas!$B$6:$B$37,MATCH($A24,Tareas!$A$6:$A$37,0))</f>
        <v>Módulo de reserva de salas</v>
      </c>
      <c r="C24" s="31" t="s">
        <v>195</v>
      </c>
      <c r="D24" s="30" t="str">
        <f aca="false">INDEX(Recursos!$B$5:$B$16,MATCH($C24,Recursos!$A$5:$A$16,0))</f>
        <v>Desarrollador/a full-stack (Tandem)</v>
      </c>
      <c r="E24" s="32" t="n">
        <v>1</v>
      </c>
      <c r="F24" s="5" t="n">
        <f aca="false">INDEX(Tareas!$D$6:$D$37,MATCH($A24,Tareas!$A$6:$A$37,0))</f>
        <v>15</v>
      </c>
      <c r="G24" s="33" t="n">
        <f aca="false">E24*F24</f>
        <v>15</v>
      </c>
      <c r="H24" s="9" t="n">
        <f aca="false">INDEX(Recursos!$D$5:$D$16,MATCH($C24,Recursos!$A$5:$A$16,0))</f>
        <v>440</v>
      </c>
      <c r="I24" s="34" t="n">
        <f aca="false">G24*H24</f>
        <v>6600</v>
      </c>
      <c r="J24" s="30" t="str">
        <f aca="false">INDEX(Recursos!$C$5:$C$16,MATCH($C24,Recursos!$A$5:$A$16,0))</f>
        <v>Equipo Tandem</v>
      </c>
      <c r="K24" s="5" t="n">
        <f aca="false">INDEX(Tareas!$G$6:$G$37,MATCH($A24,Tareas!$A$6:$A$37,0))</f>
        <v>18</v>
      </c>
      <c r="L24" s="5" t="n">
        <f aca="false">INDEX(Tareas!$H$6:$H$37,MATCH($A24,Tareas!$A$6:$A$37,0))</f>
        <v>33</v>
      </c>
    </row>
    <row r="25" customFormat="false" ht="15" hidden="false" customHeight="false" outlineLevel="0" collapsed="false">
      <c r="A25" s="4" t="s">
        <v>113</v>
      </c>
      <c r="B25" s="30" t="str">
        <f aca="false">INDEX(Tareas!$B$6:$B$37,MATCH($A25,Tareas!$A$6:$A$37,0))</f>
        <v>Módulo de reserva de salas</v>
      </c>
      <c r="C25" s="31" t="s">
        <v>196</v>
      </c>
      <c r="D25" s="30" t="str">
        <f aca="false">INDEX(Recursos!$B$5:$B$16,MATCH($C25,Recursos!$A$5:$A$16,0))</f>
        <v>Diseñador/a UX/UI (Tandem)</v>
      </c>
      <c r="E25" s="32" t="n">
        <v>0.2</v>
      </c>
      <c r="F25" s="5" t="n">
        <f aca="false">INDEX(Tareas!$D$6:$D$37,MATCH($A25,Tareas!$A$6:$A$37,0))</f>
        <v>15</v>
      </c>
      <c r="G25" s="33" t="n">
        <f aca="false">E25*F25</f>
        <v>3</v>
      </c>
      <c r="H25" s="9" t="n">
        <f aca="false">INDEX(Recursos!$D$5:$D$16,MATCH($C25,Recursos!$A$5:$A$16,0))</f>
        <v>420</v>
      </c>
      <c r="I25" s="34" t="n">
        <f aca="false">G25*H25</f>
        <v>1260</v>
      </c>
      <c r="J25" s="30" t="str">
        <f aca="false">INDEX(Recursos!$C$5:$C$16,MATCH($C25,Recursos!$A$5:$A$16,0))</f>
        <v>Equipo Tandem</v>
      </c>
      <c r="K25" s="5" t="n">
        <f aca="false">INDEX(Tareas!$G$6:$G$37,MATCH($A25,Tareas!$A$6:$A$37,0))</f>
        <v>18</v>
      </c>
      <c r="L25" s="5" t="n">
        <f aca="false">INDEX(Tareas!$H$6:$H$37,MATCH($A25,Tareas!$A$6:$A$37,0))</f>
        <v>33</v>
      </c>
    </row>
    <row r="26" customFormat="false" ht="15" hidden="false" customHeight="false" outlineLevel="0" collapsed="false">
      <c r="A26" s="4" t="s">
        <v>113</v>
      </c>
      <c r="B26" s="30" t="str">
        <f aca="false">INDEX(Tareas!$B$6:$B$37,MATCH($A26,Tareas!$A$6:$A$37,0))</f>
        <v>Módulo de reserva de salas</v>
      </c>
      <c r="C26" s="31" t="s">
        <v>138</v>
      </c>
      <c r="D26" s="30" t="str">
        <f aca="false">INDEX(Recursos!$B$5:$B$16,MATCH($C26,Recursos!$A$5:$A$16,0))</f>
        <v>Especialista QA (Tandem)</v>
      </c>
      <c r="E26" s="32" t="n">
        <v>0.2</v>
      </c>
      <c r="F26" s="5" t="n">
        <f aca="false">INDEX(Tareas!$D$6:$D$37,MATCH($A26,Tareas!$A$6:$A$37,0))</f>
        <v>15</v>
      </c>
      <c r="G26" s="33" t="n">
        <f aca="false">E26*F26</f>
        <v>3</v>
      </c>
      <c r="H26" s="9" t="n">
        <f aca="false">INDEX(Recursos!$D$5:$D$16,MATCH($C26,Recursos!$A$5:$A$16,0))</f>
        <v>360</v>
      </c>
      <c r="I26" s="34" t="n">
        <f aca="false">G26*H26</f>
        <v>1080</v>
      </c>
      <c r="J26" s="30" t="str">
        <f aca="false">INDEX(Recursos!$C$5:$C$16,MATCH($C26,Recursos!$A$5:$A$16,0))</f>
        <v>Equipo Tandem</v>
      </c>
      <c r="K26" s="5" t="n">
        <f aca="false">INDEX(Tareas!$G$6:$G$37,MATCH($A26,Tareas!$A$6:$A$37,0))</f>
        <v>18</v>
      </c>
      <c r="L26" s="5" t="n">
        <f aca="false">INDEX(Tareas!$H$6:$H$37,MATCH($A26,Tareas!$A$6:$A$37,0))</f>
        <v>33</v>
      </c>
    </row>
    <row r="27" customFormat="false" ht="15" hidden="false" customHeight="false" outlineLevel="0" collapsed="false">
      <c r="A27" s="4" t="s">
        <v>115</v>
      </c>
      <c r="B27" s="30" t="str">
        <f aca="false">INDEX(Tareas!$B$6:$B$37,MATCH($A27,Tareas!$A$6:$A$37,0))</f>
        <v>Check-in, check-out y liberación</v>
      </c>
      <c r="C27" s="31" t="s">
        <v>195</v>
      </c>
      <c r="D27" s="30" t="str">
        <f aca="false">INDEX(Recursos!$B$5:$B$16,MATCH($C27,Recursos!$A$5:$A$16,0))</f>
        <v>Desarrollador/a full-stack (Tandem)</v>
      </c>
      <c r="E27" s="32" t="n">
        <v>1</v>
      </c>
      <c r="F27" s="5" t="n">
        <f aca="false">INDEX(Tareas!$D$6:$D$37,MATCH($A27,Tareas!$A$6:$A$37,0))</f>
        <v>12</v>
      </c>
      <c r="G27" s="33" t="n">
        <f aca="false">E27*F27</f>
        <v>12</v>
      </c>
      <c r="H27" s="9" t="n">
        <f aca="false">INDEX(Recursos!$D$5:$D$16,MATCH($C27,Recursos!$A$5:$A$16,0))</f>
        <v>440</v>
      </c>
      <c r="I27" s="34" t="n">
        <f aca="false">G27*H27</f>
        <v>5280</v>
      </c>
      <c r="J27" s="30" t="str">
        <f aca="false">INDEX(Recursos!$C$5:$C$16,MATCH($C27,Recursos!$A$5:$A$16,0))</f>
        <v>Equipo Tandem</v>
      </c>
      <c r="K27" s="5" t="n">
        <f aca="false">INDEX(Tareas!$G$6:$G$37,MATCH($A27,Tareas!$A$6:$A$37,0))</f>
        <v>31</v>
      </c>
      <c r="L27" s="5" t="n">
        <f aca="false">INDEX(Tareas!$H$6:$H$37,MATCH($A27,Tareas!$A$6:$A$37,0))</f>
        <v>43</v>
      </c>
    </row>
    <row r="28" customFormat="false" ht="15" hidden="false" customHeight="false" outlineLevel="0" collapsed="false">
      <c r="A28" s="4" t="s">
        <v>115</v>
      </c>
      <c r="B28" s="30" t="str">
        <f aca="false">INDEX(Tareas!$B$6:$B$37,MATCH($A28,Tareas!$A$6:$A$37,0))</f>
        <v>Check-in, check-out y liberación</v>
      </c>
      <c r="C28" s="31" t="s">
        <v>138</v>
      </c>
      <c r="D28" s="30" t="str">
        <f aca="false">INDEX(Recursos!$B$5:$B$16,MATCH($C28,Recursos!$A$5:$A$16,0))</f>
        <v>Especialista QA (Tandem)</v>
      </c>
      <c r="E28" s="32" t="n">
        <v>0.2</v>
      </c>
      <c r="F28" s="5" t="n">
        <f aca="false">INDEX(Tareas!$D$6:$D$37,MATCH($A28,Tareas!$A$6:$A$37,0))</f>
        <v>12</v>
      </c>
      <c r="G28" s="33" t="n">
        <f aca="false">E28*F28</f>
        <v>2.4</v>
      </c>
      <c r="H28" s="9" t="n">
        <f aca="false">INDEX(Recursos!$D$5:$D$16,MATCH($C28,Recursos!$A$5:$A$16,0))</f>
        <v>360</v>
      </c>
      <c r="I28" s="34" t="n">
        <f aca="false">G28*H28</f>
        <v>864</v>
      </c>
      <c r="J28" s="30" t="str">
        <f aca="false">INDEX(Recursos!$C$5:$C$16,MATCH($C28,Recursos!$A$5:$A$16,0))</f>
        <v>Equipo Tandem</v>
      </c>
      <c r="K28" s="5" t="n">
        <f aca="false">INDEX(Tareas!$G$6:$G$37,MATCH($A28,Tareas!$A$6:$A$37,0))</f>
        <v>31</v>
      </c>
      <c r="L28" s="5" t="n">
        <f aca="false">INDEX(Tareas!$H$6:$H$37,MATCH($A28,Tareas!$A$6:$A$37,0))</f>
        <v>43</v>
      </c>
    </row>
    <row r="29" customFormat="false" ht="15" hidden="false" customHeight="false" outlineLevel="0" collapsed="false">
      <c r="A29" s="4" t="s">
        <v>117</v>
      </c>
      <c r="B29" s="30" t="str">
        <f aca="false">INDEX(Tareas!$B$6:$B$37,MATCH($A29,Tareas!$A$6:$A$37,0))</f>
        <v>Notificaciones y sugerencias</v>
      </c>
      <c r="C29" s="31" t="s">
        <v>195</v>
      </c>
      <c r="D29" s="30" t="str">
        <f aca="false">INDEX(Recursos!$B$5:$B$16,MATCH($C29,Recursos!$A$5:$A$16,0))</f>
        <v>Desarrollador/a full-stack (Tandem)</v>
      </c>
      <c r="E29" s="32" t="n">
        <v>1</v>
      </c>
      <c r="F29" s="5" t="n">
        <f aca="false">INDEX(Tareas!$D$6:$D$37,MATCH($A29,Tareas!$A$6:$A$37,0))</f>
        <v>15</v>
      </c>
      <c r="G29" s="33" t="n">
        <f aca="false">E29*F29</f>
        <v>15</v>
      </c>
      <c r="H29" s="9" t="n">
        <f aca="false">INDEX(Recursos!$D$5:$D$16,MATCH($C29,Recursos!$A$5:$A$16,0))</f>
        <v>440</v>
      </c>
      <c r="I29" s="34" t="n">
        <f aca="false">G29*H29</f>
        <v>6600</v>
      </c>
      <c r="J29" s="30" t="str">
        <f aca="false">INDEX(Recursos!$C$5:$C$16,MATCH($C29,Recursos!$A$5:$A$16,0))</f>
        <v>Equipo Tandem</v>
      </c>
      <c r="K29" s="5" t="n">
        <f aca="false">INDEX(Tareas!$G$6:$G$37,MATCH($A29,Tareas!$A$6:$A$37,0))</f>
        <v>43</v>
      </c>
      <c r="L29" s="5" t="n">
        <f aca="false">INDEX(Tareas!$H$6:$H$37,MATCH($A29,Tareas!$A$6:$A$37,0))</f>
        <v>58</v>
      </c>
    </row>
    <row r="30" customFormat="false" ht="15" hidden="false" customHeight="false" outlineLevel="0" collapsed="false">
      <c r="A30" s="4" t="s">
        <v>117</v>
      </c>
      <c r="B30" s="30" t="str">
        <f aca="false">INDEX(Tareas!$B$6:$B$37,MATCH($A30,Tareas!$A$6:$A$37,0))</f>
        <v>Notificaciones y sugerencias</v>
      </c>
      <c r="C30" s="31" t="s">
        <v>105</v>
      </c>
      <c r="D30" s="30" t="str">
        <f aca="false">INDEX(Recursos!$B$5:$B$16,MATCH($C30,Recursos!$A$5:$A$16,0))</f>
        <v>Product Owner (Tandem)</v>
      </c>
      <c r="E30" s="32" t="n">
        <v>0.2</v>
      </c>
      <c r="F30" s="5" t="n">
        <f aca="false">INDEX(Tareas!$D$6:$D$37,MATCH($A30,Tareas!$A$6:$A$37,0))</f>
        <v>15</v>
      </c>
      <c r="G30" s="33" t="n">
        <f aca="false">E30*F30</f>
        <v>3</v>
      </c>
      <c r="H30" s="9" t="n">
        <f aca="false">INDEX(Recursos!$D$5:$D$16,MATCH($C30,Recursos!$A$5:$A$16,0))</f>
        <v>480</v>
      </c>
      <c r="I30" s="34" t="n">
        <f aca="false">G30*H30</f>
        <v>1440</v>
      </c>
      <c r="J30" s="30" t="str">
        <f aca="false">INDEX(Recursos!$C$5:$C$16,MATCH($C30,Recursos!$A$5:$A$16,0))</f>
        <v>Equipo Tandem</v>
      </c>
      <c r="K30" s="5" t="n">
        <f aca="false">INDEX(Tareas!$G$6:$G$37,MATCH($A30,Tareas!$A$6:$A$37,0))</f>
        <v>43</v>
      </c>
      <c r="L30" s="5" t="n">
        <f aca="false">INDEX(Tareas!$H$6:$H$37,MATCH($A30,Tareas!$A$6:$A$37,0))</f>
        <v>58</v>
      </c>
    </row>
    <row r="31" customFormat="false" ht="15" hidden="false" customHeight="false" outlineLevel="0" collapsed="false">
      <c r="A31" s="4" t="s">
        <v>117</v>
      </c>
      <c r="B31" s="30" t="str">
        <f aca="false">INDEX(Tareas!$B$6:$B$37,MATCH($A31,Tareas!$A$6:$A$37,0))</f>
        <v>Notificaciones y sugerencias</v>
      </c>
      <c r="C31" s="31" t="s">
        <v>138</v>
      </c>
      <c r="D31" s="30" t="str">
        <f aca="false">INDEX(Recursos!$B$5:$B$16,MATCH($C31,Recursos!$A$5:$A$16,0))</f>
        <v>Especialista QA (Tandem)</v>
      </c>
      <c r="E31" s="32" t="n">
        <v>0.2</v>
      </c>
      <c r="F31" s="5" t="n">
        <f aca="false">INDEX(Tareas!$D$6:$D$37,MATCH($A31,Tareas!$A$6:$A$37,0))</f>
        <v>15</v>
      </c>
      <c r="G31" s="33" t="n">
        <f aca="false">E31*F31</f>
        <v>3</v>
      </c>
      <c r="H31" s="9" t="n">
        <f aca="false">INDEX(Recursos!$D$5:$D$16,MATCH($C31,Recursos!$A$5:$A$16,0))</f>
        <v>360</v>
      </c>
      <c r="I31" s="34" t="n">
        <f aca="false">G31*H31</f>
        <v>1080</v>
      </c>
      <c r="J31" s="30" t="str">
        <f aca="false">INDEX(Recursos!$C$5:$C$16,MATCH($C31,Recursos!$A$5:$A$16,0))</f>
        <v>Equipo Tandem</v>
      </c>
      <c r="K31" s="5" t="n">
        <f aca="false">INDEX(Tareas!$G$6:$G$37,MATCH($A31,Tareas!$A$6:$A$37,0))</f>
        <v>43</v>
      </c>
      <c r="L31" s="5" t="n">
        <f aca="false">INDEX(Tareas!$H$6:$H$37,MATCH($A31,Tareas!$A$6:$A$37,0))</f>
        <v>58</v>
      </c>
    </row>
    <row r="32" customFormat="false" ht="15" hidden="false" customHeight="false" outlineLevel="0" collapsed="false">
      <c r="A32" s="4" t="s">
        <v>120</v>
      </c>
      <c r="B32" s="30" t="str">
        <f aca="false">INDEX(Tareas!$B$6:$B$37,MATCH($A32,Tareas!$A$6:$A$37,0))</f>
        <v>Diseño UX</v>
      </c>
      <c r="C32" s="31" t="s">
        <v>196</v>
      </c>
      <c r="D32" s="30" t="str">
        <f aca="false">INDEX(Recursos!$B$5:$B$16,MATCH($C32,Recursos!$A$5:$A$16,0))</f>
        <v>Diseñador/a UX/UI (Tandem)</v>
      </c>
      <c r="E32" s="32" t="n">
        <v>0.6</v>
      </c>
      <c r="F32" s="5" t="n">
        <f aca="false">INDEX(Tareas!$D$6:$D$37,MATCH($A32,Tareas!$A$6:$A$37,0))</f>
        <v>15</v>
      </c>
      <c r="G32" s="33" t="n">
        <f aca="false">E32*F32</f>
        <v>9</v>
      </c>
      <c r="H32" s="9" t="n">
        <f aca="false">INDEX(Recursos!$D$5:$D$16,MATCH($C32,Recursos!$A$5:$A$16,0))</f>
        <v>420</v>
      </c>
      <c r="I32" s="34" t="n">
        <f aca="false">G32*H32</f>
        <v>3780</v>
      </c>
      <c r="J32" s="30" t="str">
        <f aca="false">INDEX(Recursos!$C$5:$C$16,MATCH($C32,Recursos!$A$5:$A$16,0))</f>
        <v>Equipo Tandem</v>
      </c>
      <c r="K32" s="5" t="n">
        <f aca="false">INDEX(Tareas!$G$6:$G$37,MATCH($A32,Tareas!$A$6:$A$37,0))</f>
        <v>18</v>
      </c>
      <c r="L32" s="5" t="n">
        <f aca="false">INDEX(Tareas!$H$6:$H$37,MATCH($A32,Tareas!$A$6:$A$37,0))</f>
        <v>33</v>
      </c>
    </row>
    <row r="33" customFormat="false" ht="15" hidden="false" customHeight="false" outlineLevel="0" collapsed="false">
      <c r="A33" s="4" t="s">
        <v>120</v>
      </c>
      <c r="B33" s="30" t="str">
        <f aca="false">INDEX(Tareas!$B$6:$B$37,MATCH($A33,Tareas!$A$6:$A$37,0))</f>
        <v>Diseño UX</v>
      </c>
      <c r="C33" s="31" t="s">
        <v>105</v>
      </c>
      <c r="D33" s="30" t="str">
        <f aca="false">INDEX(Recursos!$B$5:$B$16,MATCH($C33,Recursos!$A$5:$A$16,0))</f>
        <v>Product Owner (Tandem)</v>
      </c>
      <c r="E33" s="32" t="n">
        <v>0.2</v>
      </c>
      <c r="F33" s="5" t="n">
        <f aca="false">INDEX(Tareas!$D$6:$D$37,MATCH($A33,Tareas!$A$6:$A$37,0))</f>
        <v>15</v>
      </c>
      <c r="G33" s="33" t="n">
        <f aca="false">E33*F33</f>
        <v>3</v>
      </c>
      <c r="H33" s="9" t="n">
        <f aca="false">INDEX(Recursos!$D$5:$D$16,MATCH($C33,Recursos!$A$5:$A$16,0))</f>
        <v>480</v>
      </c>
      <c r="I33" s="34" t="n">
        <f aca="false">G33*H33</f>
        <v>1440</v>
      </c>
      <c r="J33" s="30" t="str">
        <f aca="false">INDEX(Recursos!$C$5:$C$16,MATCH($C33,Recursos!$A$5:$A$16,0))</f>
        <v>Equipo Tandem</v>
      </c>
      <c r="K33" s="5" t="n">
        <f aca="false">INDEX(Tareas!$G$6:$G$37,MATCH($A33,Tareas!$A$6:$A$37,0))</f>
        <v>18</v>
      </c>
      <c r="L33" s="5" t="n">
        <f aca="false">INDEX(Tareas!$H$6:$H$37,MATCH($A33,Tareas!$A$6:$A$37,0))</f>
        <v>33</v>
      </c>
    </row>
    <row r="34" customFormat="false" ht="15" hidden="false" customHeight="false" outlineLevel="0" collapsed="false">
      <c r="A34" s="4" t="s">
        <v>123</v>
      </c>
      <c r="B34" s="30" t="str">
        <f aca="false">INDEX(Tareas!$B$6:$B$37,MATCH($A34,Tareas!$A$6:$A$37,0))</f>
        <v>Implementación bot de Teams</v>
      </c>
      <c r="C34" s="31" t="s">
        <v>195</v>
      </c>
      <c r="D34" s="30" t="str">
        <f aca="false">INDEX(Recursos!$B$5:$B$16,MATCH($C34,Recursos!$A$5:$A$16,0))</f>
        <v>Desarrollador/a full-stack (Tandem)</v>
      </c>
      <c r="E34" s="32" t="n">
        <v>0.5</v>
      </c>
      <c r="F34" s="5" t="n">
        <f aca="false">INDEX(Tareas!$D$6:$D$37,MATCH($A34,Tareas!$A$6:$A$37,0))</f>
        <v>10</v>
      </c>
      <c r="G34" s="33" t="n">
        <f aca="false">E34*F34</f>
        <v>5</v>
      </c>
      <c r="H34" s="9" t="n">
        <f aca="false">INDEX(Recursos!$D$5:$D$16,MATCH($C34,Recursos!$A$5:$A$16,0))</f>
        <v>440</v>
      </c>
      <c r="I34" s="34" t="n">
        <f aca="false">G34*H34</f>
        <v>2200</v>
      </c>
      <c r="J34" s="30" t="str">
        <f aca="false">INDEX(Recursos!$C$5:$C$16,MATCH($C34,Recursos!$A$5:$A$16,0))</f>
        <v>Equipo Tandem</v>
      </c>
      <c r="K34" s="5" t="n">
        <f aca="false">INDEX(Tareas!$G$6:$G$37,MATCH($A34,Tareas!$A$6:$A$37,0))</f>
        <v>33</v>
      </c>
      <c r="L34" s="5" t="n">
        <f aca="false">INDEX(Tareas!$H$6:$H$37,MATCH($A34,Tareas!$A$6:$A$37,0))</f>
        <v>43</v>
      </c>
    </row>
    <row r="35" customFormat="false" ht="15" hidden="false" customHeight="false" outlineLevel="0" collapsed="false">
      <c r="A35" s="4" t="s">
        <v>123</v>
      </c>
      <c r="B35" s="30" t="str">
        <f aca="false">INDEX(Tareas!$B$6:$B$37,MATCH($A35,Tareas!$A$6:$A$37,0))</f>
        <v>Implementación bot de Teams</v>
      </c>
      <c r="C35" s="31" t="s">
        <v>138</v>
      </c>
      <c r="D35" s="30" t="str">
        <f aca="false">INDEX(Recursos!$B$5:$B$16,MATCH($C35,Recursos!$A$5:$A$16,0))</f>
        <v>Especialista QA (Tandem)</v>
      </c>
      <c r="E35" s="32" t="n">
        <v>0.2</v>
      </c>
      <c r="F35" s="5" t="n">
        <f aca="false">INDEX(Tareas!$D$6:$D$37,MATCH($A35,Tareas!$A$6:$A$37,0))</f>
        <v>10</v>
      </c>
      <c r="G35" s="33" t="n">
        <f aca="false">E35*F35</f>
        <v>2</v>
      </c>
      <c r="H35" s="9" t="n">
        <f aca="false">INDEX(Recursos!$D$5:$D$16,MATCH($C35,Recursos!$A$5:$A$16,0))</f>
        <v>360</v>
      </c>
      <c r="I35" s="34" t="n">
        <f aca="false">G35*H35</f>
        <v>720</v>
      </c>
      <c r="J35" s="30" t="str">
        <f aca="false">INDEX(Recursos!$C$5:$C$16,MATCH($C35,Recursos!$A$5:$A$16,0))</f>
        <v>Equipo Tandem</v>
      </c>
      <c r="K35" s="5" t="n">
        <f aca="false">INDEX(Tareas!$G$6:$G$37,MATCH($A35,Tareas!$A$6:$A$37,0))</f>
        <v>33</v>
      </c>
      <c r="L35" s="5" t="n">
        <f aca="false">INDEX(Tareas!$H$6:$H$37,MATCH($A35,Tareas!$A$6:$A$37,0))</f>
        <v>43</v>
      </c>
    </row>
    <row r="36" customFormat="false" ht="15" hidden="false" customHeight="false" outlineLevel="0" collapsed="false">
      <c r="A36" s="4" t="s">
        <v>126</v>
      </c>
      <c r="B36" s="30" t="str">
        <f aca="false">INDEX(Tareas!$B$6:$B$37,MATCH($A36,Tareas!$A$6:$A$37,0))</f>
        <v>Configuración web</v>
      </c>
      <c r="C36" s="31" t="s">
        <v>195</v>
      </c>
      <c r="D36" s="30" t="str">
        <f aca="false">INDEX(Recursos!$B$5:$B$16,MATCH($C36,Recursos!$A$5:$A$16,0))</f>
        <v>Desarrollador/a full-stack (Tandem)</v>
      </c>
      <c r="E36" s="32" t="n">
        <v>1</v>
      </c>
      <c r="F36" s="5" t="n">
        <f aca="false">INDEX(Tareas!$D$6:$D$37,MATCH($A36,Tareas!$A$6:$A$37,0))</f>
        <v>12</v>
      </c>
      <c r="G36" s="33" t="n">
        <f aca="false">E36*F36</f>
        <v>12</v>
      </c>
      <c r="H36" s="9" t="n">
        <f aca="false">INDEX(Recursos!$D$5:$D$16,MATCH($C36,Recursos!$A$5:$A$16,0))</f>
        <v>440</v>
      </c>
      <c r="I36" s="34" t="n">
        <f aca="false">G36*H36</f>
        <v>5280</v>
      </c>
      <c r="J36" s="30" t="str">
        <f aca="false">INDEX(Recursos!$C$5:$C$16,MATCH($C36,Recursos!$A$5:$A$16,0))</f>
        <v>Equipo Tandem</v>
      </c>
      <c r="K36" s="5" t="n">
        <f aca="false">INDEX(Tareas!$G$6:$G$37,MATCH($A36,Tareas!$A$6:$A$37,0))</f>
        <v>58</v>
      </c>
      <c r="L36" s="5" t="n">
        <f aca="false">INDEX(Tareas!$H$6:$H$37,MATCH($A36,Tareas!$A$6:$A$37,0))</f>
        <v>70</v>
      </c>
    </row>
    <row r="37" customFormat="false" ht="15" hidden="false" customHeight="false" outlineLevel="0" collapsed="false">
      <c r="A37" s="4" t="s">
        <v>126</v>
      </c>
      <c r="B37" s="30" t="str">
        <f aca="false">INDEX(Tareas!$B$6:$B$37,MATCH($A37,Tareas!$A$6:$A$37,0))</f>
        <v>Configuración web</v>
      </c>
      <c r="C37" s="31" t="s">
        <v>196</v>
      </c>
      <c r="D37" s="30" t="str">
        <f aca="false">INDEX(Recursos!$B$5:$B$16,MATCH($C37,Recursos!$A$5:$A$16,0))</f>
        <v>Diseñador/a UX/UI (Tandem)</v>
      </c>
      <c r="E37" s="32" t="n">
        <v>0.3</v>
      </c>
      <c r="F37" s="5" t="n">
        <f aca="false">INDEX(Tareas!$D$6:$D$37,MATCH($A37,Tareas!$A$6:$A$37,0))</f>
        <v>12</v>
      </c>
      <c r="G37" s="33" t="n">
        <f aca="false">E37*F37</f>
        <v>3.6</v>
      </c>
      <c r="H37" s="9" t="n">
        <f aca="false">INDEX(Recursos!$D$5:$D$16,MATCH($C37,Recursos!$A$5:$A$16,0))</f>
        <v>420</v>
      </c>
      <c r="I37" s="34" t="n">
        <f aca="false">G37*H37</f>
        <v>1512</v>
      </c>
      <c r="J37" s="30" t="str">
        <f aca="false">INDEX(Recursos!$C$5:$C$16,MATCH($C37,Recursos!$A$5:$A$16,0))</f>
        <v>Equipo Tandem</v>
      </c>
      <c r="K37" s="5" t="n">
        <f aca="false">INDEX(Tareas!$G$6:$G$37,MATCH($A37,Tareas!$A$6:$A$37,0))</f>
        <v>58</v>
      </c>
      <c r="L37" s="5" t="n">
        <f aca="false">INDEX(Tareas!$H$6:$H$37,MATCH($A37,Tareas!$A$6:$A$37,0))</f>
        <v>70</v>
      </c>
    </row>
    <row r="38" customFormat="false" ht="15" hidden="false" customHeight="false" outlineLevel="0" collapsed="false">
      <c r="A38" s="4" t="s">
        <v>126</v>
      </c>
      <c r="B38" s="30" t="str">
        <f aca="false">INDEX(Tareas!$B$6:$B$37,MATCH($A38,Tareas!$A$6:$A$37,0))</f>
        <v>Configuración web</v>
      </c>
      <c r="C38" s="31" t="s">
        <v>138</v>
      </c>
      <c r="D38" s="30" t="str">
        <f aca="false">INDEX(Recursos!$B$5:$B$16,MATCH($C38,Recursos!$A$5:$A$16,0))</f>
        <v>Especialista QA (Tandem)</v>
      </c>
      <c r="E38" s="32" t="n">
        <v>0.2</v>
      </c>
      <c r="F38" s="5" t="n">
        <f aca="false">INDEX(Tareas!$D$6:$D$37,MATCH($A38,Tareas!$A$6:$A$37,0))</f>
        <v>12</v>
      </c>
      <c r="G38" s="33" t="n">
        <f aca="false">E38*F38</f>
        <v>2.4</v>
      </c>
      <c r="H38" s="9" t="n">
        <f aca="false">INDEX(Recursos!$D$5:$D$16,MATCH($C38,Recursos!$A$5:$A$16,0))</f>
        <v>360</v>
      </c>
      <c r="I38" s="34" t="n">
        <f aca="false">G38*H38</f>
        <v>864</v>
      </c>
      <c r="J38" s="30" t="str">
        <f aca="false">INDEX(Recursos!$C$5:$C$16,MATCH($C38,Recursos!$A$5:$A$16,0))</f>
        <v>Equipo Tandem</v>
      </c>
      <c r="K38" s="5" t="n">
        <f aca="false">INDEX(Tareas!$G$6:$G$37,MATCH($A38,Tareas!$A$6:$A$37,0))</f>
        <v>58</v>
      </c>
      <c r="L38" s="5" t="n">
        <f aca="false">INDEX(Tareas!$H$6:$H$37,MATCH($A38,Tareas!$A$6:$A$37,0))</f>
        <v>70</v>
      </c>
    </row>
    <row r="39" customFormat="false" ht="15" hidden="false" customHeight="false" outlineLevel="0" collapsed="false">
      <c r="A39" s="4" t="s">
        <v>129</v>
      </c>
      <c r="B39" s="30" t="str">
        <f aca="false">INDEX(Tareas!$B$6:$B$37,MATCH($A39,Tareas!$A$6:$A$37,0))</f>
        <v>SSO y SCIM con Entra ID</v>
      </c>
      <c r="C39" s="31" t="s">
        <v>197</v>
      </c>
      <c r="D39" s="30" t="str">
        <f aca="false">INDEX(Recursos!$B$5:$B$16,MATCH($C39,Recursos!$A$5:$A$16,0))</f>
        <v>Ingeniero/a de integraciones (Tandem)</v>
      </c>
      <c r="E39" s="32" t="n">
        <v>2</v>
      </c>
      <c r="F39" s="5" t="n">
        <f aca="false">INDEX(Tareas!$D$6:$D$37,MATCH($A39,Tareas!$A$6:$A$37,0))</f>
        <v>12</v>
      </c>
      <c r="G39" s="33" t="n">
        <f aca="false">E39*F39</f>
        <v>24</v>
      </c>
      <c r="H39" s="9" t="n">
        <f aca="false">INDEX(Recursos!$D$5:$D$16,MATCH($C39,Recursos!$A$5:$A$16,0))</f>
        <v>480</v>
      </c>
      <c r="I39" s="34" t="n">
        <f aca="false">G39*H39</f>
        <v>11520</v>
      </c>
      <c r="J39" s="30" t="str">
        <f aca="false">INDEX(Recursos!$C$5:$C$16,MATCH($C39,Recursos!$A$5:$A$16,0))</f>
        <v>Integraciones</v>
      </c>
      <c r="K39" s="5" t="n">
        <f aca="false">INDEX(Tareas!$G$6:$G$37,MATCH($A39,Tareas!$A$6:$A$37,0))</f>
        <v>8</v>
      </c>
      <c r="L39" s="5" t="n">
        <f aca="false">INDEX(Tareas!$H$6:$H$37,MATCH($A39,Tareas!$A$6:$A$37,0))</f>
        <v>20</v>
      </c>
    </row>
    <row r="40" customFormat="false" ht="15" hidden="false" customHeight="false" outlineLevel="0" collapsed="false">
      <c r="A40" s="4" t="s">
        <v>129</v>
      </c>
      <c r="B40" s="30" t="str">
        <f aca="false">INDEX(Tareas!$B$6:$B$37,MATCH($A40,Tareas!$A$6:$A$37,0))</f>
        <v>SSO y SCIM con Entra ID</v>
      </c>
      <c r="C40" s="31" t="s">
        <v>198</v>
      </c>
      <c r="D40" s="30" t="str">
        <f aca="false">INDEX(Recursos!$B$5:$B$16,MATCH($C40,Recursos!$A$5:$A$16,0))</f>
        <v>Tecnología VCA (P. Guzmán)</v>
      </c>
      <c r="E40" s="32" t="n">
        <v>0.5</v>
      </c>
      <c r="F40" s="5" t="n">
        <f aca="false">INDEX(Tareas!$D$6:$D$37,MATCH($A40,Tareas!$A$6:$A$37,0))</f>
        <v>12</v>
      </c>
      <c r="G40" s="33" t="n">
        <f aca="false">E40*F40</f>
        <v>6</v>
      </c>
      <c r="H40" s="9" t="n">
        <f aca="false">INDEX(Recursos!$D$5:$D$16,MATCH($C40,Recursos!$A$5:$A$16,0))</f>
        <v>190</v>
      </c>
      <c r="I40" s="34" t="n">
        <f aca="false">G40*H40</f>
        <v>1140</v>
      </c>
      <c r="J40" s="30" t="str">
        <f aca="false">INDEX(Recursos!$C$5:$C$16,MATCH($C40,Recursos!$A$5:$A$16,0))</f>
        <v>Horas VCA</v>
      </c>
      <c r="K40" s="5" t="n">
        <f aca="false">INDEX(Tareas!$G$6:$G$37,MATCH($A40,Tareas!$A$6:$A$37,0))</f>
        <v>8</v>
      </c>
      <c r="L40" s="5" t="n">
        <f aca="false">INDEX(Tareas!$H$6:$H$37,MATCH($A40,Tareas!$A$6:$A$37,0))</f>
        <v>20</v>
      </c>
    </row>
    <row r="41" customFormat="false" ht="15" hidden="false" customHeight="false" outlineLevel="0" collapsed="false">
      <c r="A41" s="4" t="s">
        <v>132</v>
      </c>
      <c r="B41" s="30" t="str">
        <f aca="false">INDEX(Tareas!$B$6:$B$37,MATCH($A41,Tareas!$A$6:$A$37,0))</f>
        <v>Sincronización con HRIS</v>
      </c>
      <c r="C41" s="31" t="s">
        <v>197</v>
      </c>
      <c r="D41" s="30" t="str">
        <f aca="false">INDEX(Recursos!$B$5:$B$16,MATCH($C41,Recursos!$A$5:$A$16,0))</f>
        <v>Ingeniero/a de integraciones (Tandem)</v>
      </c>
      <c r="E41" s="32" t="n">
        <v>1</v>
      </c>
      <c r="F41" s="5" t="n">
        <f aca="false">INDEX(Tareas!$D$6:$D$37,MATCH($A41,Tareas!$A$6:$A$37,0))</f>
        <v>10</v>
      </c>
      <c r="G41" s="33" t="n">
        <f aca="false">E41*F41</f>
        <v>10</v>
      </c>
      <c r="H41" s="9" t="n">
        <f aca="false">INDEX(Recursos!$D$5:$D$16,MATCH($C41,Recursos!$A$5:$A$16,0))</f>
        <v>480</v>
      </c>
      <c r="I41" s="34" t="n">
        <f aca="false">G41*H41</f>
        <v>4800</v>
      </c>
      <c r="J41" s="30" t="str">
        <f aca="false">INDEX(Recursos!$C$5:$C$16,MATCH($C41,Recursos!$A$5:$A$16,0))</f>
        <v>Integraciones</v>
      </c>
      <c r="K41" s="5" t="n">
        <f aca="false">INDEX(Tareas!$G$6:$G$37,MATCH($A41,Tareas!$A$6:$A$37,0))</f>
        <v>20</v>
      </c>
      <c r="L41" s="5" t="n">
        <f aca="false">INDEX(Tareas!$H$6:$H$37,MATCH($A41,Tareas!$A$6:$A$37,0))</f>
        <v>30</v>
      </c>
    </row>
    <row r="42" customFormat="false" ht="15" hidden="false" customHeight="false" outlineLevel="0" collapsed="false">
      <c r="A42" s="4" t="s">
        <v>132</v>
      </c>
      <c r="B42" s="30" t="str">
        <f aca="false">INDEX(Tareas!$B$6:$B$37,MATCH($A42,Tareas!$A$6:$A$37,0))</f>
        <v>Sincronización con HRIS</v>
      </c>
      <c r="C42" s="31" t="s">
        <v>198</v>
      </c>
      <c r="D42" s="30" t="str">
        <f aca="false">INDEX(Recursos!$B$5:$B$16,MATCH($C42,Recursos!$A$5:$A$16,0))</f>
        <v>Tecnología VCA (P. Guzmán)</v>
      </c>
      <c r="E42" s="32" t="n">
        <v>0.3</v>
      </c>
      <c r="F42" s="5" t="n">
        <f aca="false">INDEX(Tareas!$D$6:$D$37,MATCH($A42,Tareas!$A$6:$A$37,0))</f>
        <v>10</v>
      </c>
      <c r="G42" s="33" t="n">
        <f aca="false">E42*F42</f>
        <v>3</v>
      </c>
      <c r="H42" s="9" t="n">
        <f aca="false">INDEX(Recursos!$D$5:$D$16,MATCH($C42,Recursos!$A$5:$A$16,0))</f>
        <v>190</v>
      </c>
      <c r="I42" s="34" t="n">
        <f aca="false">G42*H42</f>
        <v>570</v>
      </c>
      <c r="J42" s="30" t="str">
        <f aca="false">INDEX(Recursos!$C$5:$C$16,MATCH($C42,Recursos!$A$5:$A$16,0))</f>
        <v>Horas VCA</v>
      </c>
      <c r="K42" s="5" t="n">
        <f aca="false">INDEX(Tareas!$G$6:$G$37,MATCH($A42,Tareas!$A$6:$A$37,0))</f>
        <v>20</v>
      </c>
      <c r="L42" s="5" t="n">
        <f aca="false">INDEX(Tareas!$H$6:$H$37,MATCH($A42,Tareas!$A$6:$A$37,0))</f>
        <v>30</v>
      </c>
    </row>
    <row r="43" customFormat="false" ht="15" hidden="false" customHeight="false" outlineLevel="0" collapsed="false">
      <c r="A43" s="4" t="s">
        <v>134</v>
      </c>
      <c r="B43" s="30" t="str">
        <f aca="false">INDEX(Tareas!$B$6:$B$37,MATCH($A43,Tareas!$A$6:$A$37,0))</f>
        <v>Exchange, Outlook y Teams</v>
      </c>
      <c r="C43" s="31" t="s">
        <v>197</v>
      </c>
      <c r="D43" s="30" t="str">
        <f aca="false">INDEX(Recursos!$B$5:$B$16,MATCH($C43,Recursos!$A$5:$A$16,0))</f>
        <v>Ingeniero/a de integraciones (Tandem)</v>
      </c>
      <c r="E43" s="32" t="n">
        <v>1</v>
      </c>
      <c r="F43" s="5" t="n">
        <f aca="false">INDEX(Tareas!$D$6:$D$37,MATCH($A43,Tareas!$A$6:$A$37,0))</f>
        <v>10</v>
      </c>
      <c r="G43" s="33" t="n">
        <f aca="false">E43*F43</f>
        <v>10</v>
      </c>
      <c r="H43" s="9" t="n">
        <f aca="false">INDEX(Recursos!$D$5:$D$16,MATCH($C43,Recursos!$A$5:$A$16,0))</f>
        <v>480</v>
      </c>
      <c r="I43" s="34" t="n">
        <f aca="false">G43*H43</f>
        <v>4800</v>
      </c>
      <c r="J43" s="30" t="str">
        <f aca="false">INDEX(Recursos!$C$5:$C$16,MATCH($C43,Recursos!$A$5:$A$16,0))</f>
        <v>Integraciones</v>
      </c>
      <c r="K43" s="5" t="n">
        <f aca="false">INDEX(Tareas!$G$6:$G$37,MATCH($A43,Tareas!$A$6:$A$37,0))</f>
        <v>20</v>
      </c>
      <c r="L43" s="5" t="n">
        <f aca="false">INDEX(Tareas!$H$6:$H$37,MATCH($A43,Tareas!$A$6:$A$37,0))</f>
        <v>30</v>
      </c>
    </row>
    <row r="44" customFormat="false" ht="15" hidden="false" customHeight="false" outlineLevel="0" collapsed="false">
      <c r="A44" s="4" t="s">
        <v>134</v>
      </c>
      <c r="B44" s="30" t="str">
        <f aca="false">INDEX(Tareas!$B$6:$B$37,MATCH($A44,Tareas!$A$6:$A$37,0))</f>
        <v>Exchange, Outlook y Teams</v>
      </c>
      <c r="C44" s="31" t="s">
        <v>198</v>
      </c>
      <c r="D44" s="30" t="str">
        <f aca="false">INDEX(Recursos!$B$5:$B$16,MATCH($C44,Recursos!$A$5:$A$16,0))</f>
        <v>Tecnología VCA (P. Guzmán)</v>
      </c>
      <c r="E44" s="32" t="n">
        <v>0.2</v>
      </c>
      <c r="F44" s="5" t="n">
        <f aca="false">INDEX(Tareas!$D$6:$D$37,MATCH($A44,Tareas!$A$6:$A$37,0))</f>
        <v>10</v>
      </c>
      <c r="G44" s="33" t="n">
        <f aca="false">E44*F44</f>
        <v>2</v>
      </c>
      <c r="H44" s="9" t="n">
        <f aca="false">INDEX(Recursos!$D$5:$D$16,MATCH($C44,Recursos!$A$5:$A$16,0))</f>
        <v>190</v>
      </c>
      <c r="I44" s="34" t="n">
        <f aca="false">G44*H44</f>
        <v>380</v>
      </c>
      <c r="J44" s="30" t="str">
        <f aca="false">INDEX(Recursos!$C$5:$C$16,MATCH($C44,Recursos!$A$5:$A$16,0))</f>
        <v>Horas VCA</v>
      </c>
      <c r="K44" s="5" t="n">
        <f aca="false">INDEX(Tareas!$G$6:$G$37,MATCH($A44,Tareas!$A$6:$A$37,0))</f>
        <v>20</v>
      </c>
      <c r="L44" s="5" t="n">
        <f aca="false">INDEX(Tareas!$H$6:$H$37,MATCH($A44,Tareas!$A$6:$A$37,0))</f>
        <v>30</v>
      </c>
    </row>
    <row r="45" customFormat="false" ht="15" hidden="false" customHeight="false" outlineLevel="0" collapsed="false">
      <c r="A45" s="4" t="s">
        <v>136</v>
      </c>
      <c r="B45" s="30" t="str">
        <f aca="false">INDEX(Tareas!$B$6:$B$37,MATCH($A45,Tareas!$A$6:$A$37,0))</f>
        <v>Seguridad y endurecimiento</v>
      </c>
      <c r="C45" s="31" t="s">
        <v>138</v>
      </c>
      <c r="D45" s="30" t="str">
        <f aca="false">INDEX(Recursos!$B$5:$B$16,MATCH($C45,Recursos!$A$5:$A$16,0))</f>
        <v>Especialista QA (Tandem)</v>
      </c>
      <c r="E45" s="32" t="n">
        <v>0.3</v>
      </c>
      <c r="F45" s="5" t="n">
        <f aca="false">INDEX(Tareas!$D$6:$D$37,MATCH($A45,Tareas!$A$6:$A$37,0))</f>
        <v>15</v>
      </c>
      <c r="G45" s="33" t="n">
        <f aca="false">E45*F45</f>
        <v>4.5</v>
      </c>
      <c r="H45" s="9" t="n">
        <f aca="false">INDEX(Recursos!$D$5:$D$16,MATCH($C45,Recursos!$A$5:$A$16,0))</f>
        <v>360</v>
      </c>
      <c r="I45" s="34" t="n">
        <f aca="false">G45*H45</f>
        <v>1620</v>
      </c>
      <c r="J45" s="30" t="str">
        <f aca="false">INDEX(Recursos!$C$5:$C$16,MATCH($C45,Recursos!$A$5:$A$16,0))</f>
        <v>Equipo Tandem</v>
      </c>
      <c r="K45" s="5" t="n">
        <f aca="false">INDEX(Tareas!$G$6:$G$37,MATCH($A45,Tareas!$A$6:$A$37,0))</f>
        <v>30</v>
      </c>
      <c r="L45" s="5" t="n">
        <f aca="false">INDEX(Tareas!$H$6:$H$37,MATCH($A45,Tareas!$A$6:$A$37,0))</f>
        <v>45</v>
      </c>
    </row>
    <row r="46" customFormat="false" ht="15" hidden="false" customHeight="false" outlineLevel="0" collapsed="false">
      <c r="A46" s="4" t="s">
        <v>136</v>
      </c>
      <c r="B46" s="30" t="str">
        <f aca="false">INDEX(Tareas!$B$6:$B$37,MATCH($A46,Tareas!$A$6:$A$37,0))</f>
        <v>Seguridad y endurecimiento</v>
      </c>
      <c r="C46" s="31" t="s">
        <v>197</v>
      </c>
      <c r="D46" s="30" t="str">
        <f aca="false">INDEX(Recursos!$B$5:$B$16,MATCH($C46,Recursos!$A$5:$A$16,0))</f>
        <v>Ingeniero/a de integraciones (Tandem)</v>
      </c>
      <c r="E46" s="32" t="n">
        <v>1</v>
      </c>
      <c r="F46" s="5" t="n">
        <f aca="false">INDEX(Tareas!$D$6:$D$37,MATCH($A46,Tareas!$A$6:$A$37,0))</f>
        <v>15</v>
      </c>
      <c r="G46" s="33" t="n">
        <f aca="false">E46*F46</f>
        <v>15</v>
      </c>
      <c r="H46" s="9" t="n">
        <f aca="false">INDEX(Recursos!$D$5:$D$16,MATCH($C46,Recursos!$A$5:$A$16,0))</f>
        <v>480</v>
      </c>
      <c r="I46" s="34" t="n">
        <f aca="false">G46*H46</f>
        <v>7200</v>
      </c>
      <c r="J46" s="30" t="str">
        <f aca="false">INDEX(Recursos!$C$5:$C$16,MATCH($C46,Recursos!$A$5:$A$16,0))</f>
        <v>Integraciones</v>
      </c>
      <c r="K46" s="5" t="n">
        <f aca="false">INDEX(Tareas!$G$6:$G$37,MATCH($A46,Tareas!$A$6:$A$37,0))</f>
        <v>30</v>
      </c>
      <c r="L46" s="5" t="n">
        <f aca="false">INDEX(Tareas!$H$6:$H$37,MATCH($A46,Tareas!$A$6:$A$37,0))</f>
        <v>45</v>
      </c>
    </row>
    <row r="47" customFormat="false" ht="15" hidden="false" customHeight="false" outlineLevel="0" collapsed="false">
      <c r="A47" s="4" t="s">
        <v>140</v>
      </c>
      <c r="B47" s="30" t="str">
        <f aca="false">INDEX(Tareas!$B$6:$B$37,MATCH($A47,Tareas!$A$6:$A$37,0))</f>
        <v>Pruebas de integración y carga</v>
      </c>
      <c r="C47" s="31" t="s">
        <v>138</v>
      </c>
      <c r="D47" s="30" t="str">
        <f aca="false">INDEX(Recursos!$B$5:$B$16,MATCH($C47,Recursos!$A$5:$A$16,0))</f>
        <v>Especialista QA (Tandem)</v>
      </c>
      <c r="E47" s="32" t="n">
        <v>0.6</v>
      </c>
      <c r="F47" s="5" t="n">
        <f aca="false">INDEX(Tareas!$D$6:$D$37,MATCH($A47,Tareas!$A$6:$A$37,0))</f>
        <v>12</v>
      </c>
      <c r="G47" s="33" t="n">
        <f aca="false">E47*F47</f>
        <v>7.2</v>
      </c>
      <c r="H47" s="9" t="n">
        <f aca="false">INDEX(Recursos!$D$5:$D$16,MATCH($C47,Recursos!$A$5:$A$16,0))</f>
        <v>360</v>
      </c>
      <c r="I47" s="34" t="n">
        <f aca="false">G47*H47</f>
        <v>2592</v>
      </c>
      <c r="J47" s="30" t="str">
        <f aca="false">INDEX(Recursos!$C$5:$C$16,MATCH($C47,Recursos!$A$5:$A$16,0))</f>
        <v>Equipo Tandem</v>
      </c>
      <c r="K47" s="5" t="n">
        <f aca="false">INDEX(Tareas!$G$6:$G$37,MATCH($A47,Tareas!$A$6:$A$37,0))</f>
        <v>53</v>
      </c>
      <c r="L47" s="5" t="n">
        <f aca="false">INDEX(Tareas!$H$6:$H$37,MATCH($A47,Tareas!$A$6:$A$37,0))</f>
        <v>65</v>
      </c>
    </row>
    <row r="48" customFormat="false" ht="15" hidden="false" customHeight="false" outlineLevel="0" collapsed="false">
      <c r="A48" s="4" t="s">
        <v>140</v>
      </c>
      <c r="B48" s="30" t="str">
        <f aca="false">INDEX(Tareas!$B$6:$B$37,MATCH($A48,Tareas!$A$6:$A$37,0))</f>
        <v>Pruebas de integración y carga</v>
      </c>
      <c r="C48" s="31" t="s">
        <v>197</v>
      </c>
      <c r="D48" s="30" t="str">
        <f aca="false">INDEX(Recursos!$B$5:$B$16,MATCH($C48,Recursos!$A$5:$A$16,0))</f>
        <v>Ingeniero/a de integraciones (Tandem)</v>
      </c>
      <c r="E48" s="32" t="n">
        <v>1</v>
      </c>
      <c r="F48" s="5" t="n">
        <f aca="false">INDEX(Tareas!$D$6:$D$37,MATCH($A48,Tareas!$A$6:$A$37,0))</f>
        <v>12</v>
      </c>
      <c r="G48" s="33" t="n">
        <f aca="false">E48*F48</f>
        <v>12</v>
      </c>
      <c r="H48" s="9" t="n">
        <f aca="false">INDEX(Recursos!$D$5:$D$16,MATCH($C48,Recursos!$A$5:$A$16,0))</f>
        <v>480</v>
      </c>
      <c r="I48" s="34" t="n">
        <f aca="false">G48*H48</f>
        <v>5760</v>
      </c>
      <c r="J48" s="30" t="str">
        <f aca="false">INDEX(Recursos!$C$5:$C$16,MATCH($C48,Recursos!$A$5:$A$16,0))</f>
        <v>Integraciones</v>
      </c>
      <c r="K48" s="5" t="n">
        <f aca="false">INDEX(Tareas!$G$6:$G$37,MATCH($A48,Tareas!$A$6:$A$37,0))</f>
        <v>53</v>
      </c>
      <c r="L48" s="5" t="n">
        <f aca="false">INDEX(Tareas!$H$6:$H$37,MATCH($A48,Tareas!$A$6:$A$37,0))</f>
        <v>65</v>
      </c>
    </row>
    <row r="49" customFormat="false" ht="15" hidden="false" customHeight="false" outlineLevel="0" collapsed="false">
      <c r="A49" s="4" t="s">
        <v>143</v>
      </c>
      <c r="B49" s="30" t="str">
        <f aca="false">INDEX(Tareas!$B$6:$B$37,MATCH($A49,Tareas!$A$6:$A$37,0))</f>
        <v>Impacto e interesados con RR.HH.</v>
      </c>
      <c r="C49" s="31" t="s">
        <v>199</v>
      </c>
      <c r="D49" s="30" t="str">
        <f aca="false">INDEX(Recursos!$B$5:$B$16,MATCH($C49,Recursos!$A$5:$A$16,0))</f>
        <v>Consultor/a de gestión del cambio (Tandem)</v>
      </c>
      <c r="E49" s="32" t="n">
        <v>1</v>
      </c>
      <c r="F49" s="5" t="n">
        <f aca="false">INDEX(Tareas!$D$6:$D$37,MATCH($A49,Tareas!$A$6:$A$37,0))</f>
        <v>10</v>
      </c>
      <c r="G49" s="33" t="n">
        <f aca="false">E49*F49</f>
        <v>10</v>
      </c>
      <c r="H49" s="9" t="n">
        <f aca="false">INDEX(Recursos!$D$5:$D$16,MATCH($C49,Recursos!$A$5:$A$16,0))</f>
        <v>400</v>
      </c>
      <c r="I49" s="34" t="n">
        <f aca="false">G49*H49</f>
        <v>4000</v>
      </c>
      <c r="J49" s="30" t="str">
        <f aca="false">INDEX(Recursos!$C$5:$C$16,MATCH($C49,Recursos!$A$5:$A$16,0))</f>
        <v>Gestión del cambio</v>
      </c>
      <c r="K49" s="5" t="n">
        <f aca="false">INDEX(Tareas!$G$6:$G$37,MATCH($A49,Tareas!$A$6:$A$37,0))</f>
        <v>7</v>
      </c>
      <c r="L49" s="5" t="n">
        <f aca="false">INDEX(Tareas!$H$6:$H$37,MATCH($A49,Tareas!$A$6:$A$37,0))</f>
        <v>17</v>
      </c>
    </row>
    <row r="50" customFormat="false" ht="15" hidden="false" customHeight="false" outlineLevel="0" collapsed="false">
      <c r="A50" s="4" t="s">
        <v>143</v>
      </c>
      <c r="B50" s="30" t="str">
        <f aca="false">INDEX(Tareas!$B$6:$B$37,MATCH($A50,Tareas!$A$6:$A$37,0))</f>
        <v>Impacto e interesados con RR.HH.</v>
      </c>
      <c r="C50" s="31" t="s">
        <v>192</v>
      </c>
      <c r="D50" s="30" t="str">
        <f aca="false">INDEX(Recursos!$B$5:$B$16,MATCH($C50,Recursos!$A$5:$A$16,0))</f>
        <v>RR.HH. VCA (S. Ibarra / referente)</v>
      </c>
      <c r="E50" s="32" t="n">
        <v>0.4</v>
      </c>
      <c r="F50" s="5" t="n">
        <f aca="false">INDEX(Tareas!$D$6:$D$37,MATCH($A50,Tareas!$A$6:$A$37,0))</f>
        <v>10</v>
      </c>
      <c r="G50" s="33" t="n">
        <f aca="false">E50*F50</f>
        <v>4</v>
      </c>
      <c r="H50" s="9" t="n">
        <f aca="false">INDEX(Recursos!$D$5:$D$16,MATCH($C50,Recursos!$A$5:$A$16,0))</f>
        <v>160</v>
      </c>
      <c r="I50" s="34" t="n">
        <f aca="false">G50*H50</f>
        <v>640</v>
      </c>
      <c r="J50" s="30" t="str">
        <f aca="false">INDEX(Recursos!$C$5:$C$16,MATCH($C50,Recursos!$A$5:$A$16,0))</f>
        <v>Horas VCA</v>
      </c>
      <c r="K50" s="5" t="n">
        <f aca="false">INDEX(Tareas!$G$6:$G$37,MATCH($A50,Tareas!$A$6:$A$37,0))</f>
        <v>7</v>
      </c>
      <c r="L50" s="5" t="n">
        <f aca="false">INDEX(Tareas!$H$6:$H$37,MATCH($A50,Tareas!$A$6:$A$37,0))</f>
        <v>17</v>
      </c>
    </row>
    <row r="51" customFormat="false" ht="15" hidden="false" customHeight="false" outlineLevel="0" collapsed="false">
      <c r="A51" s="4" t="s">
        <v>146</v>
      </c>
      <c r="B51" s="30" t="str">
        <f aca="false">INDEX(Tareas!$B$6:$B$37,MATCH($A51,Tareas!$A$6:$A$37,0))</f>
        <v>Política de trabajo flexible</v>
      </c>
      <c r="C51" s="31" t="s">
        <v>199</v>
      </c>
      <c r="D51" s="30" t="str">
        <f aca="false">INDEX(Recursos!$B$5:$B$16,MATCH($C51,Recursos!$A$5:$A$16,0))</f>
        <v>Consultor/a de gestión del cambio (Tandem)</v>
      </c>
      <c r="E51" s="32" t="n">
        <v>1</v>
      </c>
      <c r="F51" s="5" t="n">
        <f aca="false">INDEX(Tareas!$D$6:$D$37,MATCH($A51,Tareas!$A$6:$A$37,0))</f>
        <v>10</v>
      </c>
      <c r="G51" s="33" t="n">
        <f aca="false">E51*F51</f>
        <v>10</v>
      </c>
      <c r="H51" s="9" t="n">
        <f aca="false">INDEX(Recursos!$D$5:$D$16,MATCH($C51,Recursos!$A$5:$A$16,0))</f>
        <v>400</v>
      </c>
      <c r="I51" s="34" t="n">
        <f aca="false">G51*H51</f>
        <v>4000</v>
      </c>
      <c r="J51" s="30" t="str">
        <f aca="false">INDEX(Recursos!$C$5:$C$16,MATCH($C51,Recursos!$A$5:$A$16,0))</f>
        <v>Gestión del cambio</v>
      </c>
      <c r="K51" s="5" t="n">
        <f aca="false">INDEX(Tareas!$G$6:$G$37,MATCH($A51,Tareas!$A$6:$A$37,0))</f>
        <v>17</v>
      </c>
      <c r="L51" s="5" t="n">
        <f aca="false">INDEX(Tareas!$H$6:$H$37,MATCH($A51,Tareas!$A$6:$A$37,0))</f>
        <v>27</v>
      </c>
    </row>
    <row r="52" customFormat="false" ht="15" hidden="false" customHeight="false" outlineLevel="0" collapsed="false">
      <c r="A52" s="4" t="s">
        <v>146</v>
      </c>
      <c r="B52" s="30" t="str">
        <f aca="false">INDEX(Tareas!$B$6:$B$37,MATCH($A52,Tareas!$A$6:$A$37,0))</f>
        <v>Política de trabajo flexible</v>
      </c>
      <c r="C52" s="31" t="s">
        <v>192</v>
      </c>
      <c r="D52" s="30" t="str">
        <f aca="false">INDEX(Recursos!$B$5:$B$16,MATCH($C52,Recursos!$A$5:$A$16,0))</f>
        <v>RR.HH. VCA (S. Ibarra / referente)</v>
      </c>
      <c r="E52" s="32" t="n">
        <v>0.4</v>
      </c>
      <c r="F52" s="5" t="n">
        <f aca="false">INDEX(Tareas!$D$6:$D$37,MATCH($A52,Tareas!$A$6:$A$37,0))</f>
        <v>10</v>
      </c>
      <c r="G52" s="33" t="n">
        <f aca="false">E52*F52</f>
        <v>4</v>
      </c>
      <c r="H52" s="9" t="n">
        <f aca="false">INDEX(Recursos!$D$5:$D$16,MATCH($C52,Recursos!$A$5:$A$16,0))</f>
        <v>160</v>
      </c>
      <c r="I52" s="34" t="n">
        <f aca="false">G52*H52</f>
        <v>640</v>
      </c>
      <c r="J52" s="30" t="str">
        <f aca="false">INDEX(Recursos!$C$5:$C$16,MATCH($C52,Recursos!$A$5:$A$16,0))</f>
        <v>Horas VCA</v>
      </c>
      <c r="K52" s="5" t="n">
        <f aca="false">INDEX(Tareas!$G$6:$G$37,MATCH($A52,Tareas!$A$6:$A$37,0))</f>
        <v>17</v>
      </c>
      <c r="L52" s="5" t="n">
        <f aca="false">INDEX(Tareas!$H$6:$H$37,MATCH($A52,Tareas!$A$6:$A$37,0))</f>
        <v>27</v>
      </c>
    </row>
    <row r="53" customFormat="false" ht="15" hidden="false" customHeight="false" outlineLevel="0" collapsed="false">
      <c r="A53" s="4" t="s">
        <v>148</v>
      </c>
      <c r="B53" s="30" t="str">
        <f aca="false">INDEX(Tareas!$B$6:$B$37,MATCH($A53,Tareas!$A$6:$A$37,0))</f>
        <v>Comunicación y lanzamiento</v>
      </c>
      <c r="C53" s="31" t="s">
        <v>199</v>
      </c>
      <c r="D53" s="30" t="str">
        <f aca="false">INDEX(Recursos!$B$5:$B$16,MATCH($C53,Recursos!$A$5:$A$16,0))</f>
        <v>Consultor/a de gestión del cambio (Tandem)</v>
      </c>
      <c r="E53" s="32" t="n">
        <v>1</v>
      </c>
      <c r="F53" s="5" t="n">
        <f aca="false">INDEX(Tareas!$D$6:$D$37,MATCH($A53,Tareas!$A$6:$A$37,0))</f>
        <v>15</v>
      </c>
      <c r="G53" s="33" t="n">
        <f aca="false">E53*F53</f>
        <v>15</v>
      </c>
      <c r="H53" s="9" t="n">
        <f aca="false">INDEX(Recursos!$D$5:$D$16,MATCH($C53,Recursos!$A$5:$A$16,0))</f>
        <v>400</v>
      </c>
      <c r="I53" s="34" t="n">
        <f aca="false">G53*H53</f>
        <v>6000</v>
      </c>
      <c r="J53" s="30" t="str">
        <f aca="false">INDEX(Recursos!$C$5:$C$16,MATCH($C53,Recursos!$A$5:$A$16,0))</f>
        <v>Gestión del cambio</v>
      </c>
      <c r="K53" s="5" t="n">
        <f aca="false">INDEX(Tareas!$G$6:$G$37,MATCH($A53,Tareas!$A$6:$A$37,0))</f>
        <v>99</v>
      </c>
      <c r="L53" s="5" t="n">
        <f aca="false">INDEX(Tareas!$H$6:$H$37,MATCH($A53,Tareas!$A$6:$A$37,0))</f>
        <v>114</v>
      </c>
    </row>
    <row r="54" customFormat="false" ht="15" hidden="false" customHeight="false" outlineLevel="0" collapsed="false">
      <c r="A54" s="4" t="s">
        <v>148</v>
      </c>
      <c r="B54" s="30" t="str">
        <f aca="false">INDEX(Tareas!$B$6:$B$37,MATCH($A54,Tareas!$A$6:$A$37,0))</f>
        <v>Comunicación y lanzamiento</v>
      </c>
      <c r="C54" s="31" t="s">
        <v>192</v>
      </c>
      <c r="D54" s="30" t="str">
        <f aca="false">INDEX(Recursos!$B$5:$B$16,MATCH($C54,Recursos!$A$5:$A$16,0))</f>
        <v>RR.HH. VCA (S. Ibarra / referente)</v>
      </c>
      <c r="E54" s="32" t="n">
        <v>0.5</v>
      </c>
      <c r="F54" s="5" t="n">
        <f aca="false">INDEX(Tareas!$D$6:$D$37,MATCH($A54,Tareas!$A$6:$A$37,0))</f>
        <v>15</v>
      </c>
      <c r="G54" s="33" t="n">
        <f aca="false">E54*F54</f>
        <v>7.5</v>
      </c>
      <c r="H54" s="9" t="n">
        <f aca="false">INDEX(Recursos!$D$5:$D$16,MATCH($C54,Recursos!$A$5:$A$16,0))</f>
        <v>160</v>
      </c>
      <c r="I54" s="34" t="n">
        <f aca="false">G54*H54</f>
        <v>1200</v>
      </c>
      <c r="J54" s="30" t="str">
        <f aca="false">INDEX(Recursos!$C$5:$C$16,MATCH($C54,Recursos!$A$5:$A$16,0))</f>
        <v>Horas VCA</v>
      </c>
      <c r="K54" s="5" t="n">
        <f aca="false">INDEX(Tareas!$G$6:$G$37,MATCH($A54,Tareas!$A$6:$A$37,0))</f>
        <v>99</v>
      </c>
      <c r="L54" s="5" t="n">
        <f aca="false">INDEX(Tareas!$H$6:$H$37,MATCH($A54,Tareas!$A$6:$A$37,0))</f>
        <v>114</v>
      </c>
    </row>
    <row r="55" customFormat="false" ht="15" hidden="false" customHeight="false" outlineLevel="0" collapsed="false">
      <c r="A55" s="4" t="s">
        <v>150</v>
      </c>
      <c r="B55" s="30" t="str">
        <f aca="false">INDEX(Tareas!$B$6:$B$37,MATCH($A55,Tareas!$A$6:$A$37,0))</f>
        <v>Referentes y capacitación</v>
      </c>
      <c r="C55" s="31" t="s">
        <v>199</v>
      </c>
      <c r="D55" s="30" t="str">
        <f aca="false">INDEX(Recursos!$B$5:$B$16,MATCH($C55,Recursos!$A$5:$A$16,0))</f>
        <v>Consultor/a de gestión del cambio (Tandem)</v>
      </c>
      <c r="E55" s="32" t="n">
        <v>1</v>
      </c>
      <c r="F55" s="5" t="n">
        <f aca="false">INDEX(Tareas!$D$6:$D$37,MATCH($A55,Tareas!$A$6:$A$37,0))</f>
        <v>15</v>
      </c>
      <c r="G55" s="33" t="n">
        <f aca="false">E55*F55</f>
        <v>15</v>
      </c>
      <c r="H55" s="9" t="n">
        <f aca="false">INDEX(Recursos!$D$5:$D$16,MATCH($C55,Recursos!$A$5:$A$16,0))</f>
        <v>400</v>
      </c>
      <c r="I55" s="34" t="n">
        <f aca="false">G55*H55</f>
        <v>6000</v>
      </c>
      <c r="J55" s="30" t="str">
        <f aca="false">INDEX(Recursos!$C$5:$C$16,MATCH($C55,Recursos!$A$5:$A$16,0))</f>
        <v>Gestión del cambio</v>
      </c>
      <c r="K55" s="5" t="n">
        <f aca="false">INDEX(Tareas!$G$6:$G$37,MATCH($A55,Tareas!$A$6:$A$37,0))</f>
        <v>27</v>
      </c>
      <c r="L55" s="5" t="n">
        <f aca="false">INDEX(Tareas!$H$6:$H$37,MATCH($A55,Tareas!$A$6:$A$37,0))</f>
        <v>42</v>
      </c>
    </row>
    <row r="56" customFormat="false" ht="15" hidden="false" customHeight="false" outlineLevel="0" collapsed="false">
      <c r="A56" s="4" t="s">
        <v>150</v>
      </c>
      <c r="B56" s="30" t="str">
        <f aca="false">INDEX(Tareas!$B$6:$B$37,MATCH($A56,Tareas!$A$6:$A$37,0))</f>
        <v>Referentes y capacitación</v>
      </c>
      <c r="C56" s="31" t="s">
        <v>192</v>
      </c>
      <c r="D56" s="30" t="str">
        <f aca="false">INDEX(Recursos!$B$5:$B$16,MATCH($C56,Recursos!$A$5:$A$16,0))</f>
        <v>RR.HH. VCA (S. Ibarra / referente)</v>
      </c>
      <c r="E56" s="32" t="n">
        <v>0.4</v>
      </c>
      <c r="F56" s="5" t="n">
        <f aca="false">INDEX(Tareas!$D$6:$D$37,MATCH($A56,Tareas!$A$6:$A$37,0))</f>
        <v>15</v>
      </c>
      <c r="G56" s="33" t="n">
        <f aca="false">E56*F56</f>
        <v>6</v>
      </c>
      <c r="H56" s="9" t="n">
        <f aca="false">INDEX(Recursos!$D$5:$D$16,MATCH($C56,Recursos!$A$5:$A$16,0))</f>
        <v>160</v>
      </c>
      <c r="I56" s="34" t="n">
        <f aca="false">G56*H56</f>
        <v>960</v>
      </c>
      <c r="J56" s="30" t="str">
        <f aca="false">INDEX(Recursos!$C$5:$C$16,MATCH($C56,Recursos!$A$5:$A$16,0))</f>
        <v>Horas VCA</v>
      </c>
      <c r="K56" s="5" t="n">
        <f aca="false">INDEX(Tareas!$G$6:$G$37,MATCH($A56,Tareas!$A$6:$A$37,0))</f>
        <v>27</v>
      </c>
      <c r="L56" s="5" t="n">
        <f aca="false">INDEX(Tareas!$H$6:$H$37,MATCH($A56,Tareas!$A$6:$A$37,0))</f>
        <v>42</v>
      </c>
    </row>
    <row r="57" customFormat="false" ht="15" hidden="false" customHeight="false" outlineLevel="0" collapsed="false">
      <c r="A57" s="4" t="s">
        <v>152</v>
      </c>
      <c r="B57" s="30" t="str">
        <f aca="false">INDEX(Tareas!$B$6:$B$37,MATCH($A57,Tareas!$A$6:$A$37,0))</f>
        <v>Materiales y mesa de ayuda N1</v>
      </c>
      <c r="C57" s="31" t="s">
        <v>199</v>
      </c>
      <c r="D57" s="30" t="str">
        <f aca="false">INDEX(Recursos!$B$5:$B$16,MATCH($C57,Recursos!$A$5:$A$16,0))</f>
        <v>Consultor/a de gestión del cambio (Tandem)</v>
      </c>
      <c r="E57" s="32" t="n">
        <v>1</v>
      </c>
      <c r="F57" s="5" t="n">
        <f aca="false">INDEX(Tareas!$D$6:$D$37,MATCH($A57,Tareas!$A$6:$A$37,0))</f>
        <v>10</v>
      </c>
      <c r="G57" s="33" t="n">
        <f aca="false">E57*F57</f>
        <v>10</v>
      </c>
      <c r="H57" s="9" t="n">
        <f aca="false">INDEX(Recursos!$D$5:$D$16,MATCH($C57,Recursos!$A$5:$A$16,0))</f>
        <v>400</v>
      </c>
      <c r="I57" s="34" t="n">
        <f aca="false">G57*H57</f>
        <v>4000</v>
      </c>
      <c r="J57" s="30" t="str">
        <f aca="false">INDEX(Recursos!$C$5:$C$16,MATCH($C57,Recursos!$A$5:$A$16,0))</f>
        <v>Gestión del cambio</v>
      </c>
      <c r="K57" s="5" t="n">
        <f aca="false">INDEX(Tareas!$G$6:$G$37,MATCH($A57,Tareas!$A$6:$A$37,0))</f>
        <v>42</v>
      </c>
      <c r="L57" s="5" t="n">
        <f aca="false">INDEX(Tareas!$H$6:$H$37,MATCH($A57,Tareas!$A$6:$A$37,0))</f>
        <v>52</v>
      </c>
    </row>
    <row r="58" customFormat="false" ht="15" hidden="false" customHeight="false" outlineLevel="0" collapsed="false">
      <c r="A58" s="4" t="s">
        <v>152</v>
      </c>
      <c r="B58" s="30" t="str">
        <f aca="false">INDEX(Tareas!$B$6:$B$37,MATCH($A58,Tareas!$A$6:$A$37,0))</f>
        <v>Materiales y mesa de ayuda N1</v>
      </c>
      <c r="C58" s="31" t="s">
        <v>192</v>
      </c>
      <c r="D58" s="30" t="str">
        <f aca="false">INDEX(Recursos!$B$5:$B$16,MATCH($C58,Recursos!$A$5:$A$16,0))</f>
        <v>RR.HH. VCA (S. Ibarra / referente)</v>
      </c>
      <c r="E58" s="32" t="n">
        <v>0.4</v>
      </c>
      <c r="F58" s="5" t="n">
        <f aca="false">INDEX(Tareas!$D$6:$D$37,MATCH($A58,Tareas!$A$6:$A$37,0))</f>
        <v>10</v>
      </c>
      <c r="G58" s="33" t="n">
        <f aca="false">E58*F58</f>
        <v>4</v>
      </c>
      <c r="H58" s="9" t="n">
        <f aca="false">INDEX(Recursos!$D$5:$D$16,MATCH($C58,Recursos!$A$5:$A$16,0))</f>
        <v>160</v>
      </c>
      <c r="I58" s="34" t="n">
        <f aca="false">G58*H58</f>
        <v>640</v>
      </c>
      <c r="J58" s="30" t="str">
        <f aca="false">INDEX(Recursos!$C$5:$C$16,MATCH($C58,Recursos!$A$5:$A$16,0))</f>
        <v>Horas VCA</v>
      </c>
      <c r="K58" s="5" t="n">
        <f aca="false">INDEX(Tareas!$G$6:$G$37,MATCH($A58,Tareas!$A$6:$A$37,0))</f>
        <v>42</v>
      </c>
      <c r="L58" s="5" t="n">
        <f aca="false">INDEX(Tareas!$H$6:$H$37,MATCH($A58,Tareas!$A$6:$A$37,0))</f>
        <v>52</v>
      </c>
    </row>
    <row r="59" customFormat="false" ht="15" hidden="false" customHeight="false" outlineLevel="0" collapsed="false">
      <c r="A59" s="4" t="s">
        <v>154</v>
      </c>
      <c r="B59" s="30" t="str">
        <f aca="false">INDEX(Tareas!$B$6:$B$37,MATCH($A59,Tareas!$A$6:$A$37,0))</f>
        <v>Ambientes, migración y despliegue</v>
      </c>
      <c r="C59" s="31" t="s">
        <v>194</v>
      </c>
      <c r="D59" s="30" t="str">
        <f aca="false">INDEX(Recursos!$B$5:$B$16,MATCH($C59,Recursos!$A$5:$A$16,0))</f>
        <v>Ingeniero/a DevOps (Tandem)</v>
      </c>
      <c r="E59" s="32" t="n">
        <v>0.8</v>
      </c>
      <c r="F59" s="5" t="n">
        <f aca="false">INDEX(Tareas!$D$6:$D$37,MATCH($A59,Tareas!$A$6:$A$37,0))</f>
        <v>12</v>
      </c>
      <c r="G59" s="33" t="n">
        <f aca="false">E59*F59</f>
        <v>9.6</v>
      </c>
      <c r="H59" s="9" t="n">
        <f aca="false">INDEX(Recursos!$D$5:$D$16,MATCH($C59,Recursos!$A$5:$A$16,0))</f>
        <v>460</v>
      </c>
      <c r="I59" s="34" t="n">
        <f aca="false">G59*H59</f>
        <v>4416</v>
      </c>
      <c r="J59" s="30" t="str">
        <f aca="false">INDEX(Recursos!$C$5:$C$16,MATCH($C59,Recursos!$A$5:$A$16,0))</f>
        <v>Ambientes</v>
      </c>
      <c r="K59" s="5" t="n">
        <f aca="false">INDEX(Tareas!$G$6:$G$37,MATCH($A59,Tareas!$A$6:$A$37,0))</f>
        <v>8</v>
      </c>
      <c r="L59" s="5" t="n">
        <f aca="false">INDEX(Tareas!$H$6:$H$37,MATCH($A59,Tareas!$A$6:$A$37,0))</f>
        <v>20</v>
      </c>
    </row>
    <row r="60" customFormat="false" ht="15" hidden="false" customHeight="false" outlineLevel="0" collapsed="false">
      <c r="A60" s="4" t="s">
        <v>54</v>
      </c>
      <c r="B60" s="30" t="str">
        <f aca="false">INDEX(Tareas!$B$6:$B$37,MATCH($A60,Tareas!$A$6:$A$37,0))</f>
        <v>Piloto y ajustes</v>
      </c>
      <c r="C60" s="31" t="s">
        <v>88</v>
      </c>
      <c r="D60" s="30" t="str">
        <f aca="false">INDEX(Recursos!$B$5:$B$16,MATCH($C60,Recursos!$A$5:$A$16,0))</f>
        <v>Project Manager (Tandem)</v>
      </c>
      <c r="E60" s="32" t="n">
        <v>0.2</v>
      </c>
      <c r="F60" s="5" t="n">
        <f aca="false">INDEX(Tareas!$D$6:$D$37,MATCH($A60,Tareas!$A$6:$A$37,0))</f>
        <v>20</v>
      </c>
      <c r="G60" s="33" t="n">
        <f aca="false">E60*F60</f>
        <v>4</v>
      </c>
      <c r="H60" s="9" t="n">
        <f aca="false">INDEX(Recursos!$D$5:$D$16,MATCH($C60,Recursos!$A$5:$A$16,0))</f>
        <v>520</v>
      </c>
      <c r="I60" s="34" t="n">
        <f aca="false">G60*H60</f>
        <v>2080</v>
      </c>
      <c r="J60" s="30" t="str">
        <f aca="false">INDEX(Recursos!$C$5:$C$16,MATCH($C60,Recursos!$A$5:$A$16,0))</f>
        <v>Equipo Tandem</v>
      </c>
      <c r="K60" s="5" t="n">
        <f aca="false">INDEX(Tareas!$G$6:$G$37,MATCH($A60,Tareas!$A$6:$A$37,0))</f>
        <v>33</v>
      </c>
      <c r="L60" s="5" t="n">
        <f aca="false">INDEX(Tareas!$H$6:$H$37,MATCH($A60,Tareas!$A$6:$A$37,0))</f>
        <v>53</v>
      </c>
    </row>
    <row r="61" customFormat="false" ht="15" hidden="false" customHeight="false" outlineLevel="0" collapsed="false">
      <c r="A61" s="4" t="s">
        <v>54</v>
      </c>
      <c r="B61" s="30" t="str">
        <f aca="false">INDEX(Tareas!$B$6:$B$37,MATCH($A61,Tareas!$A$6:$A$37,0))</f>
        <v>Piloto y ajustes</v>
      </c>
      <c r="C61" s="31" t="s">
        <v>105</v>
      </c>
      <c r="D61" s="30" t="str">
        <f aca="false">INDEX(Recursos!$B$5:$B$16,MATCH($C61,Recursos!$A$5:$A$16,0))</f>
        <v>Product Owner (Tandem)</v>
      </c>
      <c r="E61" s="32" t="n">
        <v>0.5</v>
      </c>
      <c r="F61" s="5" t="n">
        <f aca="false">INDEX(Tareas!$D$6:$D$37,MATCH($A61,Tareas!$A$6:$A$37,0))</f>
        <v>20</v>
      </c>
      <c r="G61" s="33" t="n">
        <f aca="false">E61*F61</f>
        <v>10</v>
      </c>
      <c r="H61" s="9" t="n">
        <f aca="false">INDEX(Recursos!$D$5:$D$16,MATCH($C61,Recursos!$A$5:$A$16,0))</f>
        <v>480</v>
      </c>
      <c r="I61" s="34" t="n">
        <f aca="false">G61*H61</f>
        <v>4800</v>
      </c>
      <c r="J61" s="30" t="str">
        <f aca="false">INDEX(Recursos!$C$5:$C$16,MATCH($C61,Recursos!$A$5:$A$16,0))</f>
        <v>Equipo Tandem</v>
      </c>
      <c r="K61" s="5" t="n">
        <f aca="false">INDEX(Tareas!$G$6:$G$37,MATCH($A61,Tareas!$A$6:$A$37,0))</f>
        <v>33</v>
      </c>
      <c r="L61" s="5" t="n">
        <f aca="false">INDEX(Tareas!$H$6:$H$37,MATCH($A61,Tareas!$A$6:$A$37,0))</f>
        <v>53</v>
      </c>
    </row>
    <row r="62" customFormat="false" ht="15" hidden="false" customHeight="false" outlineLevel="0" collapsed="false">
      <c r="A62" s="4" t="s">
        <v>54</v>
      </c>
      <c r="B62" s="30" t="str">
        <f aca="false">INDEX(Tareas!$B$6:$B$37,MATCH($A62,Tareas!$A$6:$A$37,0))</f>
        <v>Piloto y ajustes</v>
      </c>
      <c r="C62" s="31" t="s">
        <v>195</v>
      </c>
      <c r="D62" s="30" t="str">
        <f aca="false">INDEX(Recursos!$B$5:$B$16,MATCH($C62,Recursos!$A$5:$A$16,0))</f>
        <v>Desarrollador/a full-stack (Tandem)</v>
      </c>
      <c r="E62" s="32" t="n">
        <v>0.5</v>
      </c>
      <c r="F62" s="5" t="n">
        <f aca="false">INDEX(Tareas!$D$6:$D$37,MATCH($A62,Tareas!$A$6:$A$37,0))</f>
        <v>20</v>
      </c>
      <c r="G62" s="33" t="n">
        <f aca="false">E62*F62</f>
        <v>10</v>
      </c>
      <c r="H62" s="9" t="n">
        <f aca="false">INDEX(Recursos!$D$5:$D$16,MATCH($C62,Recursos!$A$5:$A$16,0))</f>
        <v>440</v>
      </c>
      <c r="I62" s="34" t="n">
        <f aca="false">G62*H62</f>
        <v>4400</v>
      </c>
      <c r="J62" s="30" t="str">
        <f aca="false">INDEX(Recursos!$C$5:$C$16,MATCH($C62,Recursos!$A$5:$A$16,0))</f>
        <v>Equipo Tandem</v>
      </c>
      <c r="K62" s="5" t="n">
        <f aca="false">INDEX(Tareas!$G$6:$G$37,MATCH($A62,Tareas!$A$6:$A$37,0))</f>
        <v>33</v>
      </c>
      <c r="L62" s="5" t="n">
        <f aca="false">INDEX(Tareas!$H$6:$H$37,MATCH($A62,Tareas!$A$6:$A$37,0))</f>
        <v>53</v>
      </c>
    </row>
    <row r="63" customFormat="false" ht="15" hidden="false" customHeight="false" outlineLevel="0" collapsed="false">
      <c r="A63" s="4" t="s">
        <v>54</v>
      </c>
      <c r="B63" s="30" t="str">
        <f aca="false">INDEX(Tareas!$B$6:$B$37,MATCH($A63,Tareas!$A$6:$A$37,0))</f>
        <v>Piloto y ajustes</v>
      </c>
      <c r="C63" s="31" t="s">
        <v>138</v>
      </c>
      <c r="D63" s="30" t="str">
        <f aca="false">INDEX(Recursos!$B$5:$B$16,MATCH($C63,Recursos!$A$5:$A$16,0))</f>
        <v>Especialista QA (Tandem)</v>
      </c>
      <c r="E63" s="32" t="n">
        <v>0.3</v>
      </c>
      <c r="F63" s="5" t="n">
        <f aca="false">INDEX(Tareas!$D$6:$D$37,MATCH($A63,Tareas!$A$6:$A$37,0))</f>
        <v>20</v>
      </c>
      <c r="G63" s="33" t="n">
        <f aca="false">E63*F63</f>
        <v>6</v>
      </c>
      <c r="H63" s="9" t="n">
        <f aca="false">INDEX(Recursos!$D$5:$D$16,MATCH($C63,Recursos!$A$5:$A$16,0))</f>
        <v>360</v>
      </c>
      <c r="I63" s="34" t="n">
        <f aca="false">G63*H63</f>
        <v>2160</v>
      </c>
      <c r="J63" s="30" t="str">
        <f aca="false">INDEX(Recursos!$C$5:$C$16,MATCH($C63,Recursos!$A$5:$A$16,0))</f>
        <v>Equipo Tandem</v>
      </c>
      <c r="K63" s="5" t="n">
        <f aca="false">INDEX(Tareas!$G$6:$G$37,MATCH($A63,Tareas!$A$6:$A$37,0))</f>
        <v>33</v>
      </c>
      <c r="L63" s="5" t="n">
        <f aca="false">INDEX(Tareas!$H$6:$H$37,MATCH($A63,Tareas!$A$6:$A$37,0))</f>
        <v>53</v>
      </c>
    </row>
    <row r="64" customFormat="false" ht="15" hidden="false" customHeight="false" outlineLevel="0" collapsed="false">
      <c r="A64" s="4" t="s">
        <v>54</v>
      </c>
      <c r="B64" s="30" t="str">
        <f aca="false">INDEX(Tareas!$B$6:$B$37,MATCH($A64,Tareas!$A$6:$A$37,0))</f>
        <v>Piloto y ajustes</v>
      </c>
      <c r="C64" s="31" t="s">
        <v>196</v>
      </c>
      <c r="D64" s="30" t="str">
        <f aca="false">INDEX(Recursos!$B$5:$B$16,MATCH($C64,Recursos!$A$5:$A$16,0))</f>
        <v>Diseñador/a UX/UI (Tandem)</v>
      </c>
      <c r="E64" s="32" t="n">
        <v>0.25</v>
      </c>
      <c r="F64" s="5" t="n">
        <f aca="false">INDEX(Tareas!$D$6:$D$37,MATCH($A64,Tareas!$A$6:$A$37,0))</f>
        <v>20</v>
      </c>
      <c r="G64" s="33" t="n">
        <f aca="false">E64*F64</f>
        <v>5</v>
      </c>
      <c r="H64" s="9" t="n">
        <f aca="false">INDEX(Recursos!$D$5:$D$16,MATCH($C64,Recursos!$A$5:$A$16,0))</f>
        <v>420</v>
      </c>
      <c r="I64" s="34" t="n">
        <f aca="false">G64*H64</f>
        <v>2100</v>
      </c>
      <c r="J64" s="30" t="str">
        <f aca="false">INDEX(Recursos!$C$5:$C$16,MATCH($C64,Recursos!$A$5:$A$16,0))</f>
        <v>Equipo Tandem</v>
      </c>
      <c r="K64" s="5" t="n">
        <f aca="false">INDEX(Tareas!$G$6:$G$37,MATCH($A64,Tareas!$A$6:$A$37,0))</f>
        <v>33</v>
      </c>
      <c r="L64" s="5" t="n">
        <f aca="false">INDEX(Tareas!$H$6:$H$37,MATCH($A64,Tareas!$A$6:$A$37,0))</f>
        <v>53</v>
      </c>
    </row>
    <row r="65" customFormat="false" ht="15" hidden="false" customHeight="false" outlineLevel="0" collapsed="false">
      <c r="A65" s="4" t="s">
        <v>54</v>
      </c>
      <c r="B65" s="30" t="str">
        <f aca="false">INDEX(Tareas!$B$6:$B$37,MATCH($A65,Tareas!$A$6:$A$37,0))</f>
        <v>Piloto y ajustes</v>
      </c>
      <c r="C65" s="31" t="s">
        <v>198</v>
      </c>
      <c r="D65" s="30" t="str">
        <f aca="false">INDEX(Recursos!$B$5:$B$16,MATCH($C65,Recursos!$A$5:$A$16,0))</f>
        <v>Tecnología VCA (P. Guzmán)</v>
      </c>
      <c r="E65" s="32" t="n">
        <v>0.3</v>
      </c>
      <c r="F65" s="5" t="n">
        <f aca="false">INDEX(Tareas!$D$6:$D$37,MATCH($A65,Tareas!$A$6:$A$37,0))</f>
        <v>20</v>
      </c>
      <c r="G65" s="33" t="n">
        <f aca="false">E65*F65</f>
        <v>6</v>
      </c>
      <c r="H65" s="9" t="n">
        <f aca="false">INDEX(Recursos!$D$5:$D$16,MATCH($C65,Recursos!$A$5:$A$16,0))</f>
        <v>190</v>
      </c>
      <c r="I65" s="34" t="n">
        <f aca="false">G65*H65</f>
        <v>1140</v>
      </c>
      <c r="J65" s="30" t="str">
        <f aca="false">INDEX(Recursos!$C$5:$C$16,MATCH($C65,Recursos!$A$5:$A$16,0))</f>
        <v>Horas VCA</v>
      </c>
      <c r="K65" s="5" t="n">
        <f aca="false">INDEX(Tareas!$G$6:$G$37,MATCH($A65,Tareas!$A$6:$A$37,0))</f>
        <v>33</v>
      </c>
      <c r="L65" s="5" t="n">
        <f aca="false">INDEX(Tareas!$H$6:$H$37,MATCH($A65,Tareas!$A$6:$A$37,0))</f>
        <v>53</v>
      </c>
    </row>
    <row r="66" customFormat="false" ht="15" hidden="false" customHeight="false" outlineLevel="0" collapsed="false">
      <c r="A66" s="4" t="s">
        <v>54</v>
      </c>
      <c r="B66" s="30" t="str">
        <f aca="false">INDEX(Tareas!$B$6:$B$37,MATCH($A66,Tareas!$A$6:$A$37,0))</f>
        <v>Piloto y ajustes</v>
      </c>
      <c r="C66" s="31" t="s">
        <v>192</v>
      </c>
      <c r="D66" s="30" t="str">
        <f aca="false">INDEX(Recursos!$B$5:$B$16,MATCH($C66,Recursos!$A$5:$A$16,0))</f>
        <v>RR.HH. VCA (S. Ibarra / referente)</v>
      </c>
      <c r="E66" s="32" t="n">
        <v>0.1</v>
      </c>
      <c r="F66" s="5" t="n">
        <f aca="false">INDEX(Tareas!$D$6:$D$37,MATCH($A66,Tareas!$A$6:$A$37,0))</f>
        <v>20</v>
      </c>
      <c r="G66" s="33" t="n">
        <f aca="false">E66*F66</f>
        <v>2</v>
      </c>
      <c r="H66" s="9" t="n">
        <f aca="false">INDEX(Recursos!$D$5:$D$16,MATCH($C66,Recursos!$A$5:$A$16,0))</f>
        <v>160</v>
      </c>
      <c r="I66" s="34" t="n">
        <f aca="false">G66*H66</f>
        <v>320</v>
      </c>
      <c r="J66" s="30" t="str">
        <f aca="false">INDEX(Recursos!$C$5:$C$16,MATCH($C66,Recursos!$A$5:$A$16,0))</f>
        <v>Horas VCA</v>
      </c>
      <c r="K66" s="5" t="n">
        <f aca="false">INDEX(Tareas!$G$6:$G$37,MATCH($A66,Tareas!$A$6:$A$37,0))</f>
        <v>33</v>
      </c>
      <c r="L66" s="5" t="n">
        <f aca="false">INDEX(Tareas!$H$6:$H$37,MATCH($A66,Tareas!$A$6:$A$37,0))</f>
        <v>53</v>
      </c>
    </row>
    <row r="67" customFormat="false" ht="15" hidden="false" customHeight="false" outlineLevel="0" collapsed="false">
      <c r="A67" s="4" t="s">
        <v>54</v>
      </c>
      <c r="B67" s="30" t="str">
        <f aca="false">INDEX(Tareas!$B$6:$B$37,MATCH($A67,Tareas!$A$6:$A$37,0))</f>
        <v>Piloto y ajustes</v>
      </c>
      <c r="C67" s="31" t="s">
        <v>193</v>
      </c>
      <c r="D67" s="30" t="str">
        <f aca="false">INDEX(Recursos!$B$5:$B$16,MATCH($C67,Recursos!$A$5:$A$16,0))</f>
        <v>Servicios Generales VCA (D. Sosa)</v>
      </c>
      <c r="E67" s="32" t="n">
        <v>0.2</v>
      </c>
      <c r="F67" s="5" t="n">
        <f aca="false">INDEX(Tareas!$D$6:$D$37,MATCH($A67,Tareas!$A$6:$A$37,0))</f>
        <v>20</v>
      </c>
      <c r="G67" s="33" t="n">
        <f aca="false">E67*F67</f>
        <v>4</v>
      </c>
      <c r="H67" s="9" t="n">
        <f aca="false">INDEX(Recursos!$D$5:$D$16,MATCH($C67,Recursos!$A$5:$A$16,0))</f>
        <v>170</v>
      </c>
      <c r="I67" s="34" t="n">
        <f aca="false">G67*H67</f>
        <v>680</v>
      </c>
      <c r="J67" s="30" t="str">
        <f aca="false">INDEX(Recursos!$C$5:$C$16,MATCH($C67,Recursos!$A$5:$A$16,0))</f>
        <v>Horas VCA</v>
      </c>
      <c r="K67" s="5" t="n">
        <f aca="false">INDEX(Tareas!$G$6:$G$37,MATCH($A67,Tareas!$A$6:$A$37,0))</f>
        <v>33</v>
      </c>
      <c r="L67" s="5" t="n">
        <f aca="false">INDEX(Tareas!$H$6:$H$37,MATCH($A67,Tareas!$A$6:$A$37,0))</f>
        <v>53</v>
      </c>
    </row>
    <row r="68" customFormat="false" ht="15" hidden="false" customHeight="false" outlineLevel="0" collapsed="false">
      <c r="A68" s="4" t="s">
        <v>60</v>
      </c>
      <c r="B68" s="30" t="str">
        <f aca="false">INDEX(Tareas!$B$6:$B$37,MATCH($A68,Tareas!$A$6:$A$37,0))</f>
        <v>UAT y acta de aceptación</v>
      </c>
      <c r="C68" s="31" t="s">
        <v>138</v>
      </c>
      <c r="D68" s="30" t="str">
        <f aca="false">INDEX(Recursos!$B$5:$B$16,MATCH($C68,Recursos!$A$5:$A$16,0))</f>
        <v>Especialista QA (Tandem)</v>
      </c>
      <c r="E68" s="32" t="n">
        <v>1</v>
      </c>
      <c r="F68" s="5" t="n">
        <f aca="false">INDEX(Tareas!$D$6:$D$37,MATCH($A68,Tareas!$A$6:$A$37,0))</f>
        <v>4</v>
      </c>
      <c r="G68" s="33" t="n">
        <f aca="false">E68*F68</f>
        <v>4</v>
      </c>
      <c r="H68" s="9" t="n">
        <f aca="false">INDEX(Recursos!$D$5:$D$16,MATCH($C68,Recursos!$A$5:$A$16,0))</f>
        <v>360</v>
      </c>
      <c r="I68" s="34" t="n">
        <f aca="false">G68*H68</f>
        <v>1440</v>
      </c>
      <c r="J68" s="30" t="str">
        <f aca="false">INDEX(Recursos!$C$5:$C$16,MATCH($C68,Recursos!$A$5:$A$16,0))</f>
        <v>Equipo Tandem</v>
      </c>
      <c r="K68" s="5" t="n">
        <f aca="false">INDEX(Tareas!$G$6:$G$37,MATCH($A68,Tareas!$A$6:$A$37,0))</f>
        <v>110</v>
      </c>
      <c r="L68" s="5" t="n">
        <f aca="false">INDEX(Tareas!$H$6:$H$37,MATCH($A68,Tareas!$A$6:$A$37,0))</f>
        <v>114</v>
      </c>
    </row>
    <row r="69" customFormat="false" ht="15" hidden="false" customHeight="false" outlineLevel="0" collapsed="false">
      <c r="A69" s="4" t="s">
        <v>60</v>
      </c>
      <c r="B69" s="30" t="str">
        <f aca="false">INDEX(Tareas!$B$6:$B$37,MATCH($A69,Tareas!$A$6:$A$37,0))</f>
        <v>UAT y acta de aceptación</v>
      </c>
      <c r="C69" s="31" t="s">
        <v>105</v>
      </c>
      <c r="D69" s="30" t="str">
        <f aca="false">INDEX(Recursos!$B$5:$B$16,MATCH($C69,Recursos!$A$5:$A$16,0))</f>
        <v>Product Owner (Tandem)</v>
      </c>
      <c r="E69" s="32" t="n">
        <v>1</v>
      </c>
      <c r="F69" s="5" t="n">
        <f aca="false">INDEX(Tareas!$D$6:$D$37,MATCH($A69,Tareas!$A$6:$A$37,0))</f>
        <v>4</v>
      </c>
      <c r="G69" s="33" t="n">
        <f aca="false">E69*F69</f>
        <v>4</v>
      </c>
      <c r="H69" s="9" t="n">
        <f aca="false">INDEX(Recursos!$D$5:$D$16,MATCH($C69,Recursos!$A$5:$A$16,0))</f>
        <v>480</v>
      </c>
      <c r="I69" s="34" t="n">
        <f aca="false">G69*H69</f>
        <v>1920</v>
      </c>
      <c r="J69" s="30" t="str">
        <f aca="false">INDEX(Recursos!$C$5:$C$16,MATCH($C69,Recursos!$A$5:$A$16,0))</f>
        <v>Equipo Tandem</v>
      </c>
      <c r="K69" s="5" t="n">
        <f aca="false">INDEX(Tareas!$G$6:$G$37,MATCH($A69,Tareas!$A$6:$A$37,0))</f>
        <v>110</v>
      </c>
      <c r="L69" s="5" t="n">
        <f aca="false">INDEX(Tareas!$H$6:$H$37,MATCH($A69,Tareas!$A$6:$A$37,0))</f>
        <v>114</v>
      </c>
    </row>
    <row r="70" customFormat="false" ht="15" hidden="false" customHeight="false" outlineLevel="0" collapsed="false">
      <c r="A70" s="4" t="s">
        <v>60</v>
      </c>
      <c r="B70" s="30" t="str">
        <f aca="false">INDEX(Tareas!$B$6:$B$37,MATCH($A70,Tareas!$A$6:$A$37,0))</f>
        <v>UAT y acta de aceptación</v>
      </c>
      <c r="C70" s="31" t="s">
        <v>192</v>
      </c>
      <c r="D70" s="30" t="str">
        <f aca="false">INDEX(Recursos!$B$5:$B$16,MATCH($C70,Recursos!$A$5:$A$16,0))</f>
        <v>RR.HH. VCA (S. Ibarra / referente)</v>
      </c>
      <c r="E70" s="32" t="n">
        <v>0.5</v>
      </c>
      <c r="F70" s="5" t="n">
        <f aca="false">INDEX(Tareas!$D$6:$D$37,MATCH($A70,Tareas!$A$6:$A$37,0))</f>
        <v>4</v>
      </c>
      <c r="G70" s="33" t="n">
        <f aca="false">E70*F70</f>
        <v>2</v>
      </c>
      <c r="H70" s="9" t="n">
        <f aca="false">INDEX(Recursos!$D$5:$D$16,MATCH($C70,Recursos!$A$5:$A$16,0))</f>
        <v>160</v>
      </c>
      <c r="I70" s="34" t="n">
        <f aca="false">G70*H70</f>
        <v>320</v>
      </c>
      <c r="J70" s="30" t="str">
        <f aca="false">INDEX(Recursos!$C$5:$C$16,MATCH($C70,Recursos!$A$5:$A$16,0))</f>
        <v>Horas VCA</v>
      </c>
      <c r="K70" s="5" t="n">
        <f aca="false">INDEX(Tareas!$G$6:$G$37,MATCH($A70,Tareas!$A$6:$A$37,0))</f>
        <v>110</v>
      </c>
      <c r="L70" s="5" t="n">
        <f aca="false">INDEX(Tareas!$H$6:$H$37,MATCH($A70,Tareas!$A$6:$A$37,0))</f>
        <v>114</v>
      </c>
    </row>
    <row r="71" customFormat="false" ht="15" hidden="false" customHeight="false" outlineLevel="0" collapsed="false">
      <c r="A71" s="4" t="s">
        <v>60</v>
      </c>
      <c r="B71" s="30" t="str">
        <f aca="false">INDEX(Tareas!$B$6:$B$37,MATCH($A71,Tareas!$A$6:$A$37,0))</f>
        <v>UAT y acta de aceptación</v>
      </c>
      <c r="C71" s="31" t="s">
        <v>193</v>
      </c>
      <c r="D71" s="30" t="str">
        <f aca="false">INDEX(Recursos!$B$5:$B$16,MATCH($C71,Recursos!$A$5:$A$16,0))</f>
        <v>Servicios Generales VCA (D. Sosa)</v>
      </c>
      <c r="E71" s="32" t="n">
        <v>0.5</v>
      </c>
      <c r="F71" s="5" t="n">
        <f aca="false">INDEX(Tareas!$D$6:$D$37,MATCH($A71,Tareas!$A$6:$A$37,0))</f>
        <v>4</v>
      </c>
      <c r="G71" s="33" t="n">
        <f aca="false">E71*F71</f>
        <v>2</v>
      </c>
      <c r="H71" s="9" t="n">
        <f aca="false">INDEX(Recursos!$D$5:$D$16,MATCH($C71,Recursos!$A$5:$A$16,0))</f>
        <v>170</v>
      </c>
      <c r="I71" s="34" t="n">
        <f aca="false">G71*H71</f>
        <v>340</v>
      </c>
      <c r="J71" s="30" t="str">
        <f aca="false">INDEX(Recursos!$C$5:$C$16,MATCH($C71,Recursos!$A$5:$A$16,0))</f>
        <v>Horas VCA</v>
      </c>
      <c r="K71" s="5" t="n">
        <f aca="false">INDEX(Tareas!$G$6:$G$37,MATCH($A71,Tareas!$A$6:$A$37,0))</f>
        <v>110</v>
      </c>
      <c r="L71" s="5" t="n">
        <f aca="false">INDEX(Tareas!$H$6:$H$37,MATCH($A71,Tareas!$A$6:$A$37,0))</f>
        <v>114</v>
      </c>
    </row>
    <row r="72" customFormat="false" ht="15" hidden="false" customHeight="false" outlineLevel="0" collapsed="false">
      <c r="A72" s="4" t="s">
        <v>60</v>
      </c>
      <c r="B72" s="30" t="str">
        <f aca="false">INDEX(Tareas!$B$6:$B$37,MATCH($A72,Tareas!$A$6:$A$37,0))</f>
        <v>UAT y acta de aceptación</v>
      </c>
      <c r="C72" s="31" t="s">
        <v>198</v>
      </c>
      <c r="D72" s="30" t="str">
        <f aca="false">INDEX(Recursos!$B$5:$B$16,MATCH($C72,Recursos!$A$5:$A$16,0))</f>
        <v>Tecnología VCA (P. Guzmán)</v>
      </c>
      <c r="E72" s="32" t="n">
        <v>0.3</v>
      </c>
      <c r="F72" s="5" t="n">
        <f aca="false">INDEX(Tareas!$D$6:$D$37,MATCH($A72,Tareas!$A$6:$A$37,0))</f>
        <v>4</v>
      </c>
      <c r="G72" s="33" t="n">
        <f aca="false">E72*F72</f>
        <v>1.2</v>
      </c>
      <c r="H72" s="9" t="n">
        <f aca="false">INDEX(Recursos!$D$5:$D$16,MATCH($C72,Recursos!$A$5:$A$16,0))</f>
        <v>190</v>
      </c>
      <c r="I72" s="34" t="n">
        <f aca="false">G72*H72</f>
        <v>228</v>
      </c>
      <c r="J72" s="30" t="str">
        <f aca="false">INDEX(Recursos!$C$5:$C$16,MATCH($C72,Recursos!$A$5:$A$16,0))</f>
        <v>Horas VCA</v>
      </c>
      <c r="K72" s="5" t="n">
        <f aca="false">INDEX(Tareas!$G$6:$G$37,MATCH($A72,Tareas!$A$6:$A$37,0))</f>
        <v>110</v>
      </c>
      <c r="L72" s="5" t="n">
        <f aca="false">INDEX(Tareas!$H$6:$H$37,MATCH($A72,Tareas!$A$6:$A$37,0))</f>
        <v>114</v>
      </c>
    </row>
    <row r="73" customFormat="false" ht="15" hidden="false" customHeight="false" outlineLevel="0" collapsed="false">
      <c r="A73" s="4" t="s">
        <v>60</v>
      </c>
      <c r="B73" s="30" t="str">
        <f aca="false">INDEX(Tareas!$B$6:$B$37,MATCH($A73,Tareas!$A$6:$A$37,0))</f>
        <v>UAT y acta de aceptación</v>
      </c>
      <c r="C73" s="31" t="s">
        <v>200</v>
      </c>
      <c r="D73" s="30" t="str">
        <f aca="false">INDEX(Recursos!$B$5:$B$16,MATCH($C73,Recursos!$A$5:$A$16,0))</f>
        <v>Usuarios de prueba UAT (VCA)</v>
      </c>
      <c r="E73" s="35" t="n">
        <f aca="false">(UsuariosUAT*HorasUAT/8)/F73</f>
        <v>5.625</v>
      </c>
      <c r="F73" s="5" t="n">
        <f aca="false">INDEX(Tareas!$D$6:$D$37,MATCH($A73,Tareas!$A$6:$A$37,0))</f>
        <v>4</v>
      </c>
      <c r="G73" s="33" t="n">
        <f aca="false">E73*F73</f>
        <v>22.5</v>
      </c>
      <c r="H73" s="9" t="n">
        <f aca="false">INDEX(Recursos!$D$5:$D$16,MATCH($C73,Recursos!$A$5:$A$16,0))</f>
        <v>150</v>
      </c>
      <c r="I73" s="34" t="n">
        <f aca="false">G73*H73</f>
        <v>3375</v>
      </c>
      <c r="J73" s="30" t="str">
        <f aca="false">INDEX(Recursos!$C$5:$C$16,MATCH($C73,Recursos!$A$5:$A$16,0))</f>
        <v>Horas VCA</v>
      </c>
      <c r="K73" s="5" t="n">
        <f aca="false">INDEX(Tareas!$G$6:$G$37,MATCH($A73,Tareas!$A$6:$A$37,0))</f>
        <v>110</v>
      </c>
      <c r="L73" s="5" t="n">
        <f aca="false">INDEX(Tareas!$H$6:$H$37,MATCH($A73,Tareas!$A$6:$A$37,0))</f>
        <v>114</v>
      </c>
    </row>
    <row r="74" customFormat="false" ht="15" hidden="false" customHeight="false" outlineLevel="0" collapsed="false">
      <c r="A74" s="4" t="s">
        <v>165</v>
      </c>
      <c r="B74" s="30" t="str">
        <f aca="false">INDEX(Tareas!$B$6:$B$37,MATCH($A74,Tareas!$A$6:$A$37,0))</f>
        <v>Go-live y estabilización (4 semanas)</v>
      </c>
      <c r="C74" s="31" t="s">
        <v>88</v>
      </c>
      <c r="D74" s="30" t="str">
        <f aca="false">INDEX(Recursos!$B$5:$B$16,MATCH($C74,Recursos!$A$5:$A$16,0))</f>
        <v>Project Manager (Tandem)</v>
      </c>
      <c r="E74" s="32" t="n">
        <v>0.2</v>
      </c>
      <c r="F74" s="5" t="n">
        <f aca="false">INDEX(Tareas!$D$6:$D$37,MATCH($A74,Tareas!$A$6:$A$37,0))</f>
        <v>20</v>
      </c>
      <c r="G74" s="33" t="n">
        <f aca="false">E74*F74</f>
        <v>4</v>
      </c>
      <c r="H74" s="9" t="n">
        <f aca="false">INDEX(Recursos!$D$5:$D$16,MATCH($C74,Recursos!$A$5:$A$16,0))</f>
        <v>520</v>
      </c>
      <c r="I74" s="34" t="n">
        <f aca="false">G74*H74</f>
        <v>2080</v>
      </c>
      <c r="J74" s="30" t="str">
        <f aca="false">INDEX(Recursos!$C$5:$C$16,MATCH($C74,Recursos!$A$5:$A$16,0))</f>
        <v>Equipo Tandem</v>
      </c>
      <c r="K74" s="5" t="n">
        <f aca="false">INDEX(Tareas!$G$6:$G$37,MATCH($A74,Tareas!$A$6:$A$37,0))</f>
        <v>118</v>
      </c>
      <c r="L74" s="5" t="n">
        <f aca="false">INDEX(Tareas!$H$6:$H$37,MATCH($A74,Tareas!$A$6:$A$37,0))</f>
        <v>138</v>
      </c>
    </row>
    <row r="75" customFormat="false" ht="15" hidden="false" customHeight="false" outlineLevel="0" collapsed="false">
      <c r="A75" s="4" t="s">
        <v>165</v>
      </c>
      <c r="B75" s="30" t="str">
        <f aca="false">INDEX(Tareas!$B$6:$B$37,MATCH($A75,Tareas!$A$6:$A$37,0))</f>
        <v>Go-live y estabilización (4 semanas)</v>
      </c>
      <c r="C75" s="31" t="s">
        <v>105</v>
      </c>
      <c r="D75" s="30" t="str">
        <f aca="false">INDEX(Recursos!$B$5:$B$16,MATCH($C75,Recursos!$A$5:$A$16,0))</f>
        <v>Product Owner (Tandem)</v>
      </c>
      <c r="E75" s="32" t="n">
        <v>0.3</v>
      </c>
      <c r="F75" s="5" t="n">
        <f aca="false">INDEX(Tareas!$D$6:$D$37,MATCH($A75,Tareas!$A$6:$A$37,0))</f>
        <v>20</v>
      </c>
      <c r="G75" s="33" t="n">
        <f aca="false">E75*F75</f>
        <v>6</v>
      </c>
      <c r="H75" s="9" t="n">
        <f aca="false">INDEX(Recursos!$D$5:$D$16,MATCH($C75,Recursos!$A$5:$A$16,0))</f>
        <v>480</v>
      </c>
      <c r="I75" s="34" t="n">
        <f aca="false">G75*H75</f>
        <v>2880</v>
      </c>
      <c r="J75" s="30" t="str">
        <f aca="false">INDEX(Recursos!$C$5:$C$16,MATCH($C75,Recursos!$A$5:$A$16,0))</f>
        <v>Equipo Tandem</v>
      </c>
      <c r="K75" s="5" t="n">
        <f aca="false">INDEX(Tareas!$G$6:$G$37,MATCH($A75,Tareas!$A$6:$A$37,0))</f>
        <v>118</v>
      </c>
      <c r="L75" s="5" t="n">
        <f aca="false">INDEX(Tareas!$H$6:$H$37,MATCH($A75,Tareas!$A$6:$A$37,0))</f>
        <v>138</v>
      </c>
    </row>
    <row r="76" customFormat="false" ht="15" hidden="false" customHeight="false" outlineLevel="0" collapsed="false">
      <c r="A76" s="4" t="s">
        <v>165</v>
      </c>
      <c r="B76" s="30" t="str">
        <f aca="false">INDEX(Tareas!$B$6:$B$37,MATCH($A76,Tareas!$A$6:$A$37,0))</f>
        <v>Go-live y estabilización (4 semanas)</v>
      </c>
      <c r="C76" s="31" t="s">
        <v>195</v>
      </c>
      <c r="D76" s="30" t="str">
        <f aca="false">INDEX(Recursos!$B$5:$B$16,MATCH($C76,Recursos!$A$5:$A$16,0))</f>
        <v>Desarrollador/a full-stack (Tandem)</v>
      </c>
      <c r="E76" s="32" t="n">
        <v>1.5</v>
      </c>
      <c r="F76" s="5" t="n">
        <f aca="false">INDEX(Tareas!$D$6:$D$37,MATCH($A76,Tareas!$A$6:$A$37,0))</f>
        <v>20</v>
      </c>
      <c r="G76" s="33" t="n">
        <f aca="false">E76*F76</f>
        <v>30</v>
      </c>
      <c r="H76" s="9" t="n">
        <f aca="false">INDEX(Recursos!$D$5:$D$16,MATCH($C76,Recursos!$A$5:$A$16,0))</f>
        <v>440</v>
      </c>
      <c r="I76" s="34" t="n">
        <f aca="false">G76*H76</f>
        <v>13200</v>
      </c>
      <c r="J76" s="30" t="str">
        <f aca="false">INDEX(Recursos!$C$5:$C$16,MATCH($C76,Recursos!$A$5:$A$16,0))</f>
        <v>Equipo Tandem</v>
      </c>
      <c r="K76" s="5" t="n">
        <f aca="false">INDEX(Tareas!$G$6:$G$37,MATCH($A76,Tareas!$A$6:$A$37,0))</f>
        <v>118</v>
      </c>
      <c r="L76" s="5" t="n">
        <f aca="false">INDEX(Tareas!$H$6:$H$37,MATCH($A76,Tareas!$A$6:$A$37,0))</f>
        <v>138</v>
      </c>
    </row>
    <row r="77" customFormat="false" ht="15" hidden="false" customHeight="false" outlineLevel="0" collapsed="false">
      <c r="A77" s="4" t="s">
        <v>165</v>
      </c>
      <c r="B77" s="30" t="str">
        <f aca="false">INDEX(Tareas!$B$6:$B$37,MATCH($A77,Tareas!$A$6:$A$37,0))</f>
        <v>Go-live y estabilización (4 semanas)</v>
      </c>
      <c r="C77" s="31" t="s">
        <v>138</v>
      </c>
      <c r="D77" s="30" t="str">
        <f aca="false">INDEX(Recursos!$B$5:$B$16,MATCH($C77,Recursos!$A$5:$A$16,0))</f>
        <v>Especialista QA (Tandem)</v>
      </c>
      <c r="E77" s="32" t="n">
        <v>0.5</v>
      </c>
      <c r="F77" s="5" t="n">
        <f aca="false">INDEX(Tareas!$D$6:$D$37,MATCH($A77,Tareas!$A$6:$A$37,0))</f>
        <v>20</v>
      </c>
      <c r="G77" s="33" t="n">
        <f aca="false">E77*F77</f>
        <v>10</v>
      </c>
      <c r="H77" s="9" t="n">
        <f aca="false">INDEX(Recursos!$D$5:$D$16,MATCH($C77,Recursos!$A$5:$A$16,0))</f>
        <v>360</v>
      </c>
      <c r="I77" s="34" t="n">
        <f aca="false">G77*H77</f>
        <v>3600</v>
      </c>
      <c r="J77" s="30" t="str">
        <f aca="false">INDEX(Recursos!$C$5:$C$16,MATCH($C77,Recursos!$A$5:$A$16,0))</f>
        <v>Equipo Tandem</v>
      </c>
      <c r="K77" s="5" t="n">
        <f aca="false">INDEX(Tareas!$G$6:$G$37,MATCH($A77,Tareas!$A$6:$A$37,0))</f>
        <v>118</v>
      </c>
      <c r="L77" s="5" t="n">
        <f aca="false">INDEX(Tareas!$H$6:$H$37,MATCH($A77,Tareas!$A$6:$A$37,0))</f>
        <v>138</v>
      </c>
    </row>
    <row r="78" customFormat="false" ht="15" hidden="false" customHeight="false" outlineLevel="0" collapsed="false">
      <c r="A78" s="4" t="s">
        <v>165</v>
      </c>
      <c r="B78" s="30" t="str">
        <f aca="false">INDEX(Tareas!$B$6:$B$37,MATCH($A78,Tareas!$A$6:$A$37,0))</f>
        <v>Go-live y estabilización (4 semanas)</v>
      </c>
      <c r="C78" s="31" t="s">
        <v>194</v>
      </c>
      <c r="D78" s="30" t="str">
        <f aca="false">INDEX(Recursos!$B$5:$B$16,MATCH($C78,Recursos!$A$5:$A$16,0))</f>
        <v>Ingeniero/a DevOps (Tandem)</v>
      </c>
      <c r="E78" s="32" t="n">
        <v>0.5</v>
      </c>
      <c r="F78" s="5" t="n">
        <f aca="false">INDEX(Tareas!$D$6:$D$37,MATCH($A78,Tareas!$A$6:$A$37,0))</f>
        <v>20</v>
      </c>
      <c r="G78" s="33" t="n">
        <f aca="false">E78*F78</f>
        <v>10</v>
      </c>
      <c r="H78" s="9" t="n">
        <f aca="false">INDEX(Recursos!$D$5:$D$16,MATCH($C78,Recursos!$A$5:$A$16,0))</f>
        <v>460</v>
      </c>
      <c r="I78" s="34" t="n">
        <f aca="false">G78*H78</f>
        <v>4600</v>
      </c>
      <c r="J78" s="30" t="str">
        <f aca="false">INDEX(Recursos!$C$5:$C$16,MATCH($C78,Recursos!$A$5:$A$16,0))</f>
        <v>Ambientes</v>
      </c>
      <c r="K78" s="5" t="n">
        <f aca="false">INDEX(Tareas!$G$6:$G$37,MATCH($A78,Tareas!$A$6:$A$37,0))</f>
        <v>118</v>
      </c>
      <c r="L78" s="5" t="n">
        <f aca="false">INDEX(Tareas!$H$6:$H$37,MATCH($A78,Tareas!$A$6:$A$37,0))</f>
        <v>138</v>
      </c>
    </row>
    <row r="79" customFormat="false" ht="15" hidden="false" customHeight="false" outlineLevel="0" collapsed="false">
      <c r="A79" s="4" t="s">
        <v>165</v>
      </c>
      <c r="B79" s="30" t="str">
        <f aca="false">INDEX(Tareas!$B$6:$B$37,MATCH($A79,Tareas!$A$6:$A$37,0))</f>
        <v>Go-live y estabilización (4 semanas)</v>
      </c>
      <c r="C79" s="31" t="s">
        <v>196</v>
      </c>
      <c r="D79" s="30" t="str">
        <f aca="false">INDEX(Recursos!$B$5:$B$16,MATCH($C79,Recursos!$A$5:$A$16,0))</f>
        <v>Diseñador/a UX/UI (Tandem)</v>
      </c>
      <c r="E79" s="32" t="n">
        <v>0.2</v>
      </c>
      <c r="F79" s="5" t="n">
        <f aca="false">INDEX(Tareas!$D$6:$D$37,MATCH($A79,Tareas!$A$6:$A$37,0))</f>
        <v>20</v>
      </c>
      <c r="G79" s="33" t="n">
        <f aca="false">E79*F79</f>
        <v>4</v>
      </c>
      <c r="H79" s="9" t="n">
        <f aca="false">INDEX(Recursos!$D$5:$D$16,MATCH($C79,Recursos!$A$5:$A$16,0))</f>
        <v>420</v>
      </c>
      <c r="I79" s="34" t="n">
        <f aca="false">G79*H79</f>
        <v>1680</v>
      </c>
      <c r="J79" s="30" t="str">
        <f aca="false">INDEX(Recursos!$C$5:$C$16,MATCH($C79,Recursos!$A$5:$A$16,0))</f>
        <v>Equipo Tandem</v>
      </c>
      <c r="K79" s="5" t="n">
        <f aca="false">INDEX(Tareas!$G$6:$G$37,MATCH($A79,Tareas!$A$6:$A$37,0))</f>
        <v>118</v>
      </c>
      <c r="L79" s="5" t="n">
        <f aca="false">INDEX(Tareas!$H$6:$H$37,MATCH($A79,Tareas!$A$6:$A$37,0))</f>
        <v>138</v>
      </c>
    </row>
    <row r="80" customFormat="false" ht="15" hidden="false" customHeight="false" outlineLevel="0" collapsed="false">
      <c r="A80" s="4" t="s">
        <v>165</v>
      </c>
      <c r="B80" s="30" t="str">
        <f aca="false">INDEX(Tareas!$B$6:$B$37,MATCH($A80,Tareas!$A$6:$A$37,0))</f>
        <v>Go-live y estabilización (4 semanas)</v>
      </c>
      <c r="C80" s="31" t="s">
        <v>198</v>
      </c>
      <c r="D80" s="30" t="str">
        <f aca="false">INDEX(Recursos!$B$5:$B$16,MATCH($C80,Recursos!$A$5:$A$16,0))</f>
        <v>Tecnología VCA (P. Guzmán)</v>
      </c>
      <c r="E80" s="32" t="n">
        <v>0.3</v>
      </c>
      <c r="F80" s="5" t="n">
        <f aca="false">INDEX(Tareas!$D$6:$D$37,MATCH($A80,Tareas!$A$6:$A$37,0))</f>
        <v>20</v>
      </c>
      <c r="G80" s="33" t="n">
        <f aca="false">E80*F80</f>
        <v>6</v>
      </c>
      <c r="H80" s="9" t="n">
        <f aca="false">INDEX(Recursos!$D$5:$D$16,MATCH($C80,Recursos!$A$5:$A$16,0))</f>
        <v>190</v>
      </c>
      <c r="I80" s="34" t="n">
        <f aca="false">G80*H80</f>
        <v>1140</v>
      </c>
      <c r="J80" s="30" t="str">
        <f aca="false">INDEX(Recursos!$C$5:$C$16,MATCH($C80,Recursos!$A$5:$A$16,0))</f>
        <v>Horas VCA</v>
      </c>
      <c r="K80" s="5" t="n">
        <f aca="false">INDEX(Tareas!$G$6:$G$37,MATCH($A80,Tareas!$A$6:$A$37,0))</f>
        <v>118</v>
      </c>
      <c r="L80" s="5" t="n">
        <f aca="false">INDEX(Tareas!$H$6:$H$37,MATCH($A80,Tareas!$A$6:$A$37,0))</f>
        <v>138</v>
      </c>
    </row>
    <row r="81" customFormat="false" ht="15" hidden="false" customHeight="false" outlineLevel="0" collapsed="false">
      <c r="A81" s="4" t="s">
        <v>165</v>
      </c>
      <c r="B81" s="30" t="str">
        <f aca="false">INDEX(Tareas!$B$6:$B$37,MATCH($A81,Tareas!$A$6:$A$37,0))</f>
        <v>Go-live y estabilización (4 semanas)</v>
      </c>
      <c r="C81" s="31" t="s">
        <v>192</v>
      </c>
      <c r="D81" s="30" t="str">
        <f aca="false">INDEX(Recursos!$B$5:$B$16,MATCH($C81,Recursos!$A$5:$A$16,0))</f>
        <v>RR.HH. VCA (S. Ibarra / referente)</v>
      </c>
      <c r="E81" s="32" t="n">
        <v>0.5</v>
      </c>
      <c r="F81" s="5" t="n">
        <f aca="false">INDEX(Tareas!$D$6:$D$37,MATCH($A81,Tareas!$A$6:$A$37,0))</f>
        <v>20</v>
      </c>
      <c r="G81" s="33" t="n">
        <f aca="false">E81*F81</f>
        <v>10</v>
      </c>
      <c r="H81" s="9" t="n">
        <f aca="false">INDEX(Recursos!$D$5:$D$16,MATCH($C81,Recursos!$A$5:$A$16,0))</f>
        <v>160</v>
      </c>
      <c r="I81" s="34" t="n">
        <f aca="false">G81*H81</f>
        <v>1600</v>
      </c>
      <c r="J81" s="30" t="str">
        <f aca="false">INDEX(Recursos!$C$5:$C$16,MATCH($C81,Recursos!$A$5:$A$16,0))</f>
        <v>Horas VCA</v>
      </c>
      <c r="K81" s="5" t="n">
        <f aca="false">INDEX(Tareas!$G$6:$G$37,MATCH($A81,Tareas!$A$6:$A$37,0))</f>
        <v>118</v>
      </c>
      <c r="L81" s="5" t="n">
        <f aca="false">INDEX(Tareas!$H$6:$H$37,MATCH($A81,Tareas!$A$6:$A$37,0))</f>
        <v>138</v>
      </c>
    </row>
    <row r="82" customFormat="false" ht="15" hidden="false" customHeight="false" outlineLevel="0" collapsed="false">
      <c r="A82" s="4" t="s">
        <v>169</v>
      </c>
      <c r="B82" s="30" t="str">
        <f aca="false">INDEX(Tareas!$B$6:$B$37,MATCH($A82,Tareas!$A$6:$A$37,0))</f>
        <v>Tablero y transferencia del seguimiento</v>
      </c>
      <c r="C82" s="31" t="s">
        <v>105</v>
      </c>
      <c r="D82" s="30" t="str">
        <f aca="false">INDEX(Recursos!$B$5:$B$16,MATCH($C82,Recursos!$A$5:$A$16,0))</f>
        <v>Product Owner (Tandem)</v>
      </c>
      <c r="E82" s="32" t="n">
        <v>0.3</v>
      </c>
      <c r="F82" s="5" t="n">
        <f aca="false">INDEX(Tareas!$D$6:$D$37,MATCH($A82,Tareas!$A$6:$A$37,0))</f>
        <v>10</v>
      </c>
      <c r="G82" s="33" t="n">
        <f aca="false">E82*F82</f>
        <v>3</v>
      </c>
      <c r="H82" s="9" t="n">
        <f aca="false">INDEX(Recursos!$D$5:$D$16,MATCH($C82,Recursos!$A$5:$A$16,0))</f>
        <v>480</v>
      </c>
      <c r="I82" s="34" t="n">
        <f aca="false">G82*H82</f>
        <v>1440</v>
      </c>
      <c r="J82" s="30" t="str">
        <f aca="false">INDEX(Recursos!$C$5:$C$16,MATCH($C82,Recursos!$A$5:$A$16,0))</f>
        <v>Equipo Tandem</v>
      </c>
      <c r="K82" s="5" t="n">
        <f aca="false">INDEX(Tareas!$G$6:$G$37,MATCH($A82,Tareas!$A$6:$A$37,0))</f>
        <v>130</v>
      </c>
      <c r="L82" s="5" t="n">
        <f aca="false">INDEX(Tareas!$H$6:$H$37,MATCH($A82,Tareas!$A$6:$A$37,0))</f>
        <v>140</v>
      </c>
    </row>
    <row r="83" customFormat="false" ht="15" hidden="false" customHeight="false" outlineLevel="0" collapsed="false">
      <c r="A83" s="4" t="s">
        <v>169</v>
      </c>
      <c r="B83" s="30" t="str">
        <f aca="false">INDEX(Tareas!$B$6:$B$37,MATCH($A83,Tareas!$A$6:$A$37,0))</f>
        <v>Tablero y transferencia del seguimiento</v>
      </c>
      <c r="C83" s="31" t="s">
        <v>195</v>
      </c>
      <c r="D83" s="30" t="str">
        <f aca="false">INDEX(Recursos!$B$5:$B$16,MATCH($C83,Recursos!$A$5:$A$16,0))</f>
        <v>Desarrollador/a full-stack (Tandem)</v>
      </c>
      <c r="E83" s="32" t="n">
        <v>0.3</v>
      </c>
      <c r="F83" s="5" t="n">
        <f aca="false">INDEX(Tareas!$D$6:$D$37,MATCH($A83,Tareas!$A$6:$A$37,0))</f>
        <v>10</v>
      </c>
      <c r="G83" s="33" t="n">
        <f aca="false">E83*F83</f>
        <v>3</v>
      </c>
      <c r="H83" s="9" t="n">
        <f aca="false">INDEX(Recursos!$D$5:$D$16,MATCH($C83,Recursos!$A$5:$A$16,0))</f>
        <v>440</v>
      </c>
      <c r="I83" s="34" t="n">
        <f aca="false">G83*H83</f>
        <v>1320</v>
      </c>
      <c r="J83" s="30" t="str">
        <f aca="false">INDEX(Recursos!$C$5:$C$16,MATCH($C83,Recursos!$A$5:$A$16,0))</f>
        <v>Equipo Tandem</v>
      </c>
      <c r="K83" s="5" t="n">
        <f aca="false">INDEX(Tareas!$G$6:$G$37,MATCH($A83,Tareas!$A$6:$A$37,0))</f>
        <v>130</v>
      </c>
      <c r="L83" s="5" t="n">
        <f aca="false">INDEX(Tareas!$H$6:$H$37,MATCH($A83,Tareas!$A$6:$A$37,0))</f>
        <v>140</v>
      </c>
    </row>
    <row r="84" customFormat="false" ht="15" hidden="false" customHeight="false" outlineLevel="0" collapsed="false">
      <c r="A84" s="4" t="s">
        <v>169</v>
      </c>
      <c r="B84" s="30" t="str">
        <f aca="false">INDEX(Tareas!$B$6:$B$37,MATCH($A84,Tareas!$A$6:$A$37,0))</f>
        <v>Tablero y transferencia del seguimiento</v>
      </c>
      <c r="C84" s="31" t="s">
        <v>192</v>
      </c>
      <c r="D84" s="30" t="str">
        <f aca="false">INDEX(Recursos!$B$5:$B$16,MATCH($C84,Recursos!$A$5:$A$16,0))</f>
        <v>RR.HH. VCA (S. Ibarra / referente)</v>
      </c>
      <c r="E84" s="32" t="n">
        <v>0.4</v>
      </c>
      <c r="F84" s="5" t="n">
        <f aca="false">INDEX(Tareas!$D$6:$D$37,MATCH($A84,Tareas!$A$6:$A$37,0))</f>
        <v>10</v>
      </c>
      <c r="G84" s="33" t="n">
        <f aca="false">E84*F84</f>
        <v>4</v>
      </c>
      <c r="H84" s="9" t="n">
        <f aca="false">INDEX(Recursos!$D$5:$D$16,MATCH($C84,Recursos!$A$5:$A$16,0))</f>
        <v>160</v>
      </c>
      <c r="I84" s="34" t="n">
        <f aca="false">G84*H84</f>
        <v>640</v>
      </c>
      <c r="J84" s="30" t="str">
        <f aca="false">INDEX(Recursos!$C$5:$C$16,MATCH($C84,Recursos!$A$5:$A$16,0))</f>
        <v>Horas VCA</v>
      </c>
      <c r="K84" s="5" t="n">
        <f aca="false">INDEX(Tareas!$G$6:$G$37,MATCH($A84,Tareas!$A$6:$A$37,0))</f>
        <v>130</v>
      </c>
      <c r="L84" s="5" t="n">
        <f aca="false">INDEX(Tareas!$H$6:$H$37,MATCH($A84,Tareas!$A$6:$A$37,0))</f>
        <v>140</v>
      </c>
    </row>
    <row r="85" customFormat="false" ht="15" hidden="false" customHeight="false" outlineLevel="0" collapsed="false">
      <c r="A85" s="4" t="s">
        <v>169</v>
      </c>
      <c r="B85" s="30" t="str">
        <f aca="false">INDEX(Tareas!$B$6:$B$37,MATCH($A85,Tareas!$A$6:$A$37,0))</f>
        <v>Tablero y transferencia del seguimiento</v>
      </c>
      <c r="C85" s="31" t="s">
        <v>198</v>
      </c>
      <c r="D85" s="30" t="str">
        <f aca="false">INDEX(Recursos!$B$5:$B$16,MATCH($C85,Recursos!$A$5:$A$16,0))</f>
        <v>Tecnología VCA (P. Guzmán)</v>
      </c>
      <c r="E85" s="32" t="n">
        <v>0.2</v>
      </c>
      <c r="F85" s="5" t="n">
        <f aca="false">INDEX(Tareas!$D$6:$D$37,MATCH($A85,Tareas!$A$6:$A$37,0))</f>
        <v>10</v>
      </c>
      <c r="G85" s="33" t="n">
        <f aca="false">E85*F85</f>
        <v>2</v>
      </c>
      <c r="H85" s="9" t="n">
        <f aca="false">INDEX(Recursos!$D$5:$D$16,MATCH($C85,Recursos!$A$5:$A$16,0))</f>
        <v>190</v>
      </c>
      <c r="I85" s="34" t="n">
        <f aca="false">G85*H85</f>
        <v>380</v>
      </c>
      <c r="J85" s="30" t="str">
        <f aca="false">INDEX(Recursos!$C$5:$C$16,MATCH($C85,Recursos!$A$5:$A$16,0))</f>
        <v>Horas VCA</v>
      </c>
      <c r="K85" s="5" t="n">
        <f aca="false">INDEX(Tareas!$G$6:$G$37,MATCH($A85,Tareas!$A$6:$A$37,0))</f>
        <v>130</v>
      </c>
      <c r="L85" s="5" t="n">
        <f aca="false">INDEX(Tareas!$H$6:$H$37,MATCH($A85,Tareas!$A$6:$A$37,0))</f>
        <v>140</v>
      </c>
    </row>
    <row r="86" customFormat="false" ht="15" hidden="false" customHeight="false" outlineLevel="0" collapsed="false">
      <c r="A86" s="4" t="s">
        <v>173</v>
      </c>
      <c r="B86" s="30" t="str">
        <f aca="false">INDEX(Tareas!$B$6:$B$37,MATCH($A86,Tareas!$A$6:$A$37,0))</f>
        <v>Informe de ocupación y recomendación</v>
      </c>
      <c r="C86" s="31" t="s">
        <v>105</v>
      </c>
      <c r="D86" s="30" t="str">
        <f aca="false">INDEX(Recursos!$B$5:$B$16,MATCH($C86,Recursos!$A$5:$A$16,0))</f>
        <v>Product Owner (Tandem)</v>
      </c>
      <c r="E86" s="32" t="n">
        <v>0.2</v>
      </c>
      <c r="F86" s="5" t="n">
        <f aca="false">INDEX(Tareas!$D$6:$D$37,MATCH($A86,Tareas!$A$6:$A$37,0))</f>
        <v>10</v>
      </c>
      <c r="G86" s="33" t="n">
        <f aca="false">E86*F86</f>
        <v>2</v>
      </c>
      <c r="H86" s="9" t="n">
        <f aca="false">INDEX(Recursos!$D$5:$D$16,MATCH($C86,Recursos!$A$5:$A$16,0))</f>
        <v>480</v>
      </c>
      <c r="I86" s="34" t="n">
        <f aca="false">G86*H86</f>
        <v>960</v>
      </c>
      <c r="J86" s="30" t="str">
        <f aca="false">INDEX(Recursos!$C$5:$C$16,MATCH($C86,Recursos!$A$5:$A$16,0))</f>
        <v>Equipo Tandem</v>
      </c>
      <c r="K86" s="5" t="n">
        <f aca="false">INDEX(Tareas!$G$6:$G$37,MATCH($A86,Tareas!$A$6:$A$37,0))</f>
        <v>130</v>
      </c>
      <c r="L86" s="5" t="n">
        <f aca="false">INDEX(Tareas!$H$6:$H$37,MATCH($A86,Tareas!$A$6:$A$37,0))</f>
        <v>140</v>
      </c>
    </row>
    <row r="87" customFormat="false" ht="15" hidden="false" customHeight="false" outlineLevel="0" collapsed="false">
      <c r="A87" s="4" t="s">
        <v>173</v>
      </c>
      <c r="B87" s="30" t="str">
        <f aca="false">INDEX(Tareas!$B$6:$B$37,MATCH($A87,Tareas!$A$6:$A$37,0))</f>
        <v>Informe de ocupación y recomendación</v>
      </c>
      <c r="C87" s="31" t="s">
        <v>195</v>
      </c>
      <c r="D87" s="30" t="str">
        <f aca="false">INDEX(Recursos!$B$5:$B$16,MATCH($C87,Recursos!$A$5:$A$16,0))</f>
        <v>Desarrollador/a full-stack (Tandem)</v>
      </c>
      <c r="E87" s="32" t="n">
        <v>0.2</v>
      </c>
      <c r="F87" s="5" t="n">
        <f aca="false">INDEX(Tareas!$D$6:$D$37,MATCH($A87,Tareas!$A$6:$A$37,0))</f>
        <v>10</v>
      </c>
      <c r="G87" s="33" t="n">
        <f aca="false">E87*F87</f>
        <v>2</v>
      </c>
      <c r="H87" s="9" t="n">
        <f aca="false">INDEX(Recursos!$D$5:$D$16,MATCH($C87,Recursos!$A$5:$A$16,0))</f>
        <v>440</v>
      </c>
      <c r="I87" s="34" t="n">
        <f aca="false">G87*H87</f>
        <v>880</v>
      </c>
      <c r="J87" s="30" t="str">
        <f aca="false">INDEX(Recursos!$C$5:$C$16,MATCH($C87,Recursos!$A$5:$A$16,0))</f>
        <v>Equipo Tandem</v>
      </c>
      <c r="K87" s="5" t="n">
        <f aca="false">INDEX(Tareas!$G$6:$G$37,MATCH($A87,Tareas!$A$6:$A$37,0))</f>
        <v>130</v>
      </c>
      <c r="L87" s="5" t="n">
        <f aca="false">INDEX(Tareas!$H$6:$H$37,MATCH($A87,Tareas!$A$6:$A$37,0))</f>
        <v>140</v>
      </c>
    </row>
    <row r="88" customFormat="false" ht="15" hidden="false" customHeight="false" outlineLevel="0" collapsed="false">
      <c r="A88" s="4" t="s">
        <v>173</v>
      </c>
      <c r="B88" s="30" t="str">
        <f aca="false">INDEX(Tareas!$B$6:$B$37,MATCH($A88,Tareas!$A$6:$A$37,0))</f>
        <v>Informe de ocupación y recomendación</v>
      </c>
      <c r="C88" s="31" t="s">
        <v>193</v>
      </c>
      <c r="D88" s="30" t="str">
        <f aca="false">INDEX(Recursos!$B$5:$B$16,MATCH($C88,Recursos!$A$5:$A$16,0))</f>
        <v>Servicios Generales VCA (D. Sosa)</v>
      </c>
      <c r="E88" s="32" t="n">
        <v>0.5</v>
      </c>
      <c r="F88" s="5" t="n">
        <f aca="false">INDEX(Tareas!$D$6:$D$37,MATCH($A88,Tareas!$A$6:$A$37,0))</f>
        <v>10</v>
      </c>
      <c r="G88" s="33" t="n">
        <f aca="false">E88*F88</f>
        <v>5</v>
      </c>
      <c r="H88" s="9" t="n">
        <f aca="false">INDEX(Recursos!$D$5:$D$16,MATCH($C88,Recursos!$A$5:$A$16,0))</f>
        <v>170</v>
      </c>
      <c r="I88" s="34" t="n">
        <f aca="false">G88*H88</f>
        <v>850</v>
      </c>
      <c r="J88" s="30" t="str">
        <f aca="false">INDEX(Recursos!$C$5:$C$16,MATCH($C88,Recursos!$A$5:$A$16,0))</f>
        <v>Horas VCA</v>
      </c>
      <c r="K88" s="5" t="n">
        <f aca="false">INDEX(Tareas!$G$6:$G$37,MATCH($A88,Tareas!$A$6:$A$37,0))</f>
        <v>130</v>
      </c>
      <c r="L88" s="5" t="n">
        <f aca="false">INDEX(Tareas!$H$6:$H$37,MATCH($A88,Tareas!$A$6:$A$37,0))</f>
        <v>140</v>
      </c>
    </row>
    <row r="89" customFormat="false" ht="15" hidden="false" customHeight="false" outlineLevel="0" collapsed="false">
      <c r="A89" s="7" t="s">
        <v>201</v>
      </c>
      <c r="G89" s="36" t="n">
        <f aca="false">SUM(G5:G88)</f>
        <v>596.1</v>
      </c>
      <c r="I89" s="37" t="n">
        <f aca="false">SUM(I5:I88)</f>
        <v>235926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70"/>
    <col collapsed="false" customWidth="true" hidden="false" outlineLevel="0" max="3" min="3" style="0" width="20"/>
    <col collapsed="false" customWidth="true" hidden="false" outlineLevel="0" max="4" min="4" style="0" width="10"/>
    <col collapsed="false" customWidth="true" hidden="false" outlineLevel="0" max="5" min="5" style="0" width="13"/>
    <col collapsed="false" customWidth="true" hidden="false" outlineLevel="0" max="6" min="6" style="0" width="14"/>
    <col collapsed="false" customWidth="true" hidden="false" outlineLevel="0" max="7" min="7" style="0" width="13"/>
    <col collapsed="false" customWidth="true" hidden="false" outlineLevel="0" max="8" min="8" style="0" width="16"/>
    <col collapsed="false" customWidth="true" hidden="false" outlineLevel="0" max="9" min="9" style="0" width="14"/>
    <col collapsed="false" customWidth="true" hidden="false" outlineLevel="0" max="11" min="10" style="0" width="12"/>
    <col collapsed="false" customWidth="true" hidden="false" outlineLevel="0" max="12" min="12" style="0" width="60"/>
  </cols>
  <sheetData>
    <row r="1" customFormat="false" ht="17.35" hidden="false" customHeight="false" outlineLevel="0" collapsed="false">
      <c r="A1" s="1" t="s">
        <v>202</v>
      </c>
    </row>
    <row r="2" customFormat="false" ht="15" hidden="false" customHeight="false" outlineLevel="0" collapsed="false">
      <c r="A2" s="2" t="s">
        <v>203</v>
      </c>
    </row>
    <row r="4" customFormat="false" ht="23.85" hidden="false" customHeight="false" outlineLevel="0" collapsed="false">
      <c r="A4" s="3" t="s">
        <v>72</v>
      </c>
      <c r="B4" s="3" t="s">
        <v>204</v>
      </c>
      <c r="C4" s="3" t="s">
        <v>191</v>
      </c>
      <c r="D4" s="3" t="s">
        <v>205</v>
      </c>
      <c r="E4" s="3" t="s">
        <v>206</v>
      </c>
      <c r="F4" s="3" t="s">
        <v>207</v>
      </c>
      <c r="G4" s="3" t="s">
        <v>190</v>
      </c>
      <c r="H4" s="3" t="s">
        <v>208</v>
      </c>
      <c r="I4" s="3" t="s">
        <v>209</v>
      </c>
      <c r="J4" s="3" t="s">
        <v>84</v>
      </c>
      <c r="K4" s="3" t="s">
        <v>85</v>
      </c>
      <c r="L4" s="3" t="s">
        <v>4</v>
      </c>
    </row>
    <row r="5" customFormat="false" ht="15" hidden="false" customHeight="false" outlineLevel="0" collapsed="false">
      <c r="A5" s="4" t="s">
        <v>210</v>
      </c>
      <c r="B5" s="4" t="s">
        <v>211</v>
      </c>
      <c r="C5" s="4" t="s">
        <v>212</v>
      </c>
      <c r="D5" s="38" t="n">
        <v>1200</v>
      </c>
      <c r="E5" s="4" t="s">
        <v>213</v>
      </c>
      <c r="F5" s="39" t="n">
        <v>90</v>
      </c>
      <c r="G5" s="34" t="n">
        <f aca="false">D5*F5</f>
        <v>108000</v>
      </c>
      <c r="H5" s="31" t="s">
        <v>86</v>
      </c>
      <c r="I5" s="31" t="s">
        <v>86</v>
      </c>
      <c r="J5" s="8" t="n">
        <f aca="false">INDEX(Tareas!$M$6:$M$37,MATCH(H5,Tareas!$A$6:$A$37,0))</f>
        <v>46296</v>
      </c>
      <c r="K5" s="8" t="n">
        <f aca="false">J5</f>
        <v>46296</v>
      </c>
      <c r="L5" s="6" t="s">
        <v>214</v>
      </c>
    </row>
    <row r="6" customFormat="false" ht="15" hidden="false" customHeight="false" outlineLevel="0" collapsed="false">
      <c r="A6" s="4" t="s">
        <v>215</v>
      </c>
      <c r="B6" s="4" t="s">
        <v>216</v>
      </c>
      <c r="C6" s="4" t="s">
        <v>217</v>
      </c>
      <c r="D6" s="38" t="n">
        <v>7</v>
      </c>
      <c r="E6" s="4" t="s">
        <v>218</v>
      </c>
      <c r="F6" s="39" t="n">
        <v>150</v>
      </c>
      <c r="G6" s="34" t="n">
        <f aca="false">D6*F6</f>
        <v>1050</v>
      </c>
      <c r="H6" s="31" t="s">
        <v>154</v>
      </c>
      <c r="I6" s="31" t="s">
        <v>100</v>
      </c>
      <c r="J6" s="8" t="n">
        <f aca="false">INDEX(Tareas!$M$6:$M$37,MATCH(H6,Tareas!$A$6:$A$37,0))</f>
        <v>46309</v>
      </c>
      <c r="K6" s="8" t="n">
        <f aca="false">INDEX(Tareas!$N$6:$N$37,MATCH(I6,Tareas!$A$6:$A$37,0))</f>
        <v>46507</v>
      </c>
      <c r="L6" s="6" t="s">
        <v>219</v>
      </c>
    </row>
    <row r="7" customFormat="false" ht="15" hidden="false" customHeight="false" outlineLevel="0" collapsed="false">
      <c r="A7" s="4" t="s">
        <v>220</v>
      </c>
      <c r="B7" s="4" t="s">
        <v>221</v>
      </c>
      <c r="C7" s="4" t="s">
        <v>217</v>
      </c>
      <c r="D7" s="38" t="n">
        <v>6</v>
      </c>
      <c r="E7" s="4" t="s">
        <v>218</v>
      </c>
      <c r="F7" s="39" t="n">
        <v>250</v>
      </c>
      <c r="G7" s="34" t="n">
        <f aca="false">D7*F7</f>
        <v>1500</v>
      </c>
      <c r="H7" s="31" t="s">
        <v>154</v>
      </c>
      <c r="I7" s="31" t="s">
        <v>165</v>
      </c>
      <c r="J7" s="8" t="n">
        <f aca="false">INDEX(Tareas!$M$6:$M$37,MATCH(H7,Tareas!$A$6:$A$37,0))</f>
        <v>46309</v>
      </c>
      <c r="K7" s="8" t="n">
        <f aca="false">INDEX(Tareas!$N$6:$N$37,MATCH(I7,Tareas!$A$6:$A$37,0))</f>
        <v>46505</v>
      </c>
      <c r="L7" s="6" t="s">
        <v>222</v>
      </c>
    </row>
    <row r="8" customFormat="false" ht="15" hidden="false" customHeight="false" outlineLevel="0" collapsed="false">
      <c r="A8" s="4" t="s">
        <v>223</v>
      </c>
      <c r="B8" s="4" t="s">
        <v>224</v>
      </c>
      <c r="C8" s="4" t="s">
        <v>217</v>
      </c>
      <c r="D8" s="38" t="n">
        <v>2</v>
      </c>
      <c r="E8" s="4" t="s">
        <v>218</v>
      </c>
      <c r="F8" s="39" t="n">
        <v>422</v>
      </c>
      <c r="G8" s="34" t="n">
        <f aca="false">D8*F8</f>
        <v>844</v>
      </c>
      <c r="H8" s="31" t="s">
        <v>165</v>
      </c>
      <c r="I8" s="31" t="s">
        <v>100</v>
      </c>
      <c r="J8" s="8" t="n">
        <f aca="false">INDEX(Tareas!$M$6:$M$37,MATCH(H8,Tareas!$A$6:$A$37,0))</f>
        <v>46477</v>
      </c>
      <c r="K8" s="8" t="n">
        <f aca="false">INDEX(Tareas!$N$6:$N$37,MATCH(I8,Tareas!$A$6:$A$37,0))</f>
        <v>46507</v>
      </c>
      <c r="L8" s="6" t="s">
        <v>225</v>
      </c>
    </row>
    <row r="9" customFormat="false" ht="15" hidden="false" customHeight="false" outlineLevel="0" collapsed="false">
      <c r="A9" s="4" t="s">
        <v>226</v>
      </c>
      <c r="B9" s="4" t="s">
        <v>227</v>
      </c>
      <c r="C9" s="4" t="s">
        <v>217</v>
      </c>
      <c r="D9" s="38" t="n">
        <v>7</v>
      </c>
      <c r="E9" s="4" t="s">
        <v>218</v>
      </c>
      <c r="F9" s="39" t="n">
        <v>300</v>
      </c>
      <c r="G9" s="34" t="n">
        <f aca="false">D9*F9</f>
        <v>2100</v>
      </c>
      <c r="H9" s="31" t="s">
        <v>154</v>
      </c>
      <c r="I9" s="31" t="s">
        <v>100</v>
      </c>
      <c r="J9" s="8" t="n">
        <f aca="false">INDEX(Tareas!$M$6:$M$37,MATCH(H9,Tareas!$A$6:$A$37,0))</f>
        <v>46309</v>
      </c>
      <c r="K9" s="8" t="n">
        <f aca="false">INDEX(Tareas!$N$6:$N$37,MATCH(I9,Tareas!$A$6:$A$37,0))</f>
        <v>46507</v>
      </c>
      <c r="L9" s="6" t="s">
        <v>222</v>
      </c>
    </row>
    <row r="10" customFormat="false" ht="15" hidden="false" customHeight="false" outlineLevel="0" collapsed="false">
      <c r="A10" s="4" t="s">
        <v>228</v>
      </c>
      <c r="B10" s="4" t="s">
        <v>229</v>
      </c>
      <c r="C10" s="4" t="s">
        <v>217</v>
      </c>
      <c r="D10" s="38" t="n">
        <v>42</v>
      </c>
      <c r="E10" s="4" t="s">
        <v>230</v>
      </c>
      <c r="F10" s="39" t="n">
        <v>40</v>
      </c>
      <c r="G10" s="34" t="n">
        <f aca="false">D10*F10</f>
        <v>1680</v>
      </c>
      <c r="H10" s="31" t="s">
        <v>154</v>
      </c>
      <c r="I10" s="31" t="s">
        <v>100</v>
      </c>
      <c r="J10" s="8" t="n">
        <f aca="false">INDEX(Tareas!$M$6:$M$37,MATCH(H10,Tareas!$A$6:$A$37,0))</f>
        <v>46309</v>
      </c>
      <c r="K10" s="8" t="n">
        <f aca="false">INDEX(Tareas!$N$6:$N$37,MATCH(I10,Tareas!$A$6:$A$37,0))</f>
        <v>46507</v>
      </c>
      <c r="L10" s="6" t="s">
        <v>231</v>
      </c>
    </row>
    <row r="11" customFormat="false" ht="15" hidden="false" customHeight="false" outlineLevel="0" collapsed="false">
      <c r="A11" s="4" t="s">
        <v>232</v>
      </c>
      <c r="B11" s="4" t="s">
        <v>233</v>
      </c>
      <c r="C11" s="4" t="s">
        <v>234</v>
      </c>
      <c r="D11" s="38" t="n">
        <v>12</v>
      </c>
      <c r="E11" s="4" t="s">
        <v>235</v>
      </c>
      <c r="F11" s="39" t="n">
        <v>300</v>
      </c>
      <c r="G11" s="34" t="n">
        <f aca="false">D11*F11</f>
        <v>3600</v>
      </c>
      <c r="H11" s="31" t="s">
        <v>148</v>
      </c>
      <c r="I11" s="31" t="s">
        <v>148</v>
      </c>
      <c r="J11" s="8" t="n">
        <f aca="false">INDEX(Tareas!$M$6:$M$37,MATCH(H11,Tareas!$A$6:$A$37,0))</f>
        <v>46447</v>
      </c>
      <c r="K11" s="8" t="n">
        <f aca="false">INDEX(Tareas!$N$6:$N$37,MATCH(I11,Tareas!$A$6:$A$37,0))</f>
        <v>46465</v>
      </c>
      <c r="L11" s="6" t="s">
        <v>236</v>
      </c>
    </row>
    <row r="12" customFormat="false" ht="15" hidden="false" customHeight="false" outlineLevel="0" collapsed="false">
      <c r="A12" s="4" t="s">
        <v>237</v>
      </c>
      <c r="B12" s="4" t="s">
        <v>238</v>
      </c>
      <c r="C12" s="4" t="s">
        <v>234</v>
      </c>
      <c r="D12" s="38" t="n">
        <v>8</v>
      </c>
      <c r="E12" s="4" t="s">
        <v>239</v>
      </c>
      <c r="F12" s="39" t="n">
        <v>450</v>
      </c>
      <c r="G12" s="34" t="n">
        <f aca="false">D12*F12</f>
        <v>3600</v>
      </c>
      <c r="H12" s="31" t="s">
        <v>150</v>
      </c>
      <c r="I12" s="31" t="s">
        <v>152</v>
      </c>
      <c r="J12" s="8" t="n">
        <f aca="false">INDEX(Tareas!$M$6:$M$37,MATCH(H12,Tareas!$A$6:$A$37,0))</f>
        <v>46336</v>
      </c>
      <c r="K12" s="8" t="n">
        <f aca="false">INDEX(Tareas!$N$6:$N$37,MATCH(I12,Tareas!$A$6:$A$37,0))</f>
        <v>46373</v>
      </c>
      <c r="L12" s="6" t="s">
        <v>222</v>
      </c>
    </row>
    <row r="13" customFormat="false" ht="15" hidden="false" customHeight="false" outlineLevel="0" collapsed="false">
      <c r="A13" s="4" t="s">
        <v>240</v>
      </c>
      <c r="B13" s="4" t="s">
        <v>241</v>
      </c>
      <c r="C13" s="4" t="s">
        <v>234</v>
      </c>
      <c r="D13" s="38" t="n">
        <v>30</v>
      </c>
      <c r="E13" s="4" t="s">
        <v>242</v>
      </c>
      <c r="F13" s="39" t="n">
        <v>120</v>
      </c>
      <c r="G13" s="34" t="n">
        <f aca="false">D13*F13</f>
        <v>3600</v>
      </c>
      <c r="H13" s="31" t="s">
        <v>150</v>
      </c>
      <c r="I13" s="31" t="s">
        <v>152</v>
      </c>
      <c r="J13" s="8" t="n">
        <f aca="false">INDEX(Tareas!$M$6:$M$37,MATCH(H13,Tareas!$A$6:$A$37,0))</f>
        <v>46336</v>
      </c>
      <c r="K13" s="8" t="n">
        <f aca="false">INDEX(Tareas!$N$6:$N$37,MATCH(I13,Tareas!$A$6:$A$37,0))</f>
        <v>46373</v>
      </c>
      <c r="L13" s="6" t="s">
        <v>243</v>
      </c>
    </row>
    <row r="14" customFormat="false" ht="15" hidden="false" customHeight="false" outlineLevel="0" collapsed="false">
      <c r="A14" s="4" t="s">
        <v>244</v>
      </c>
      <c r="B14" s="4" t="s">
        <v>245</v>
      </c>
      <c r="C14" s="4" t="s">
        <v>234</v>
      </c>
      <c r="D14" s="38" t="n">
        <v>1</v>
      </c>
      <c r="E14" s="4" t="s">
        <v>246</v>
      </c>
      <c r="F14" s="39" t="n">
        <v>900</v>
      </c>
      <c r="G14" s="34" t="n">
        <f aca="false">D14*F14</f>
        <v>900</v>
      </c>
      <c r="H14" s="31" t="s">
        <v>143</v>
      </c>
      <c r="I14" s="31" t="s">
        <v>143</v>
      </c>
      <c r="J14" s="8" t="n">
        <f aca="false">INDEX(Tareas!$M$6:$M$37,MATCH(H14,Tareas!$A$6:$A$37,0))</f>
        <v>46308</v>
      </c>
      <c r="K14" s="8" t="n">
        <f aca="false">INDEX(Tareas!$N$6:$N$37,MATCH(I14,Tareas!$A$6:$A$37,0))</f>
        <v>46321</v>
      </c>
      <c r="L14" s="6" t="s">
        <v>222</v>
      </c>
    </row>
    <row r="15" customFormat="false" ht="15" hidden="false" customHeight="false" outlineLevel="0" collapsed="false">
      <c r="A15" s="4" t="s">
        <v>247</v>
      </c>
      <c r="B15" s="4" t="s">
        <v>248</v>
      </c>
      <c r="C15" s="4" t="s">
        <v>249</v>
      </c>
      <c r="D15" s="38" t="n">
        <v>1</v>
      </c>
      <c r="E15" s="4" t="s">
        <v>246</v>
      </c>
      <c r="F15" s="39" t="n">
        <v>7500</v>
      </c>
      <c r="G15" s="34" t="n">
        <f aca="false">D15*F15</f>
        <v>7500</v>
      </c>
      <c r="H15" s="31" t="s">
        <v>136</v>
      </c>
      <c r="I15" s="31" t="s">
        <v>136</v>
      </c>
      <c r="J15" s="8" t="n">
        <f aca="false">INDEX(Tareas!$M$6:$M$37,MATCH(H15,Tareas!$A$6:$A$37,0))</f>
        <v>46339</v>
      </c>
      <c r="K15" s="8" t="n">
        <f aca="false">INDEX(Tareas!$N$6:$N$37,MATCH(I15,Tareas!$A$6:$A$37,0))</f>
        <v>46360</v>
      </c>
      <c r="L15" s="6" t="s">
        <v>236</v>
      </c>
    </row>
    <row r="16" customFormat="false" ht="15" hidden="false" customHeight="false" outlineLevel="0" collapsed="false">
      <c r="A16" s="4" t="s">
        <v>250</v>
      </c>
      <c r="B16" s="4" t="s">
        <v>251</v>
      </c>
      <c r="C16" s="4" t="s">
        <v>249</v>
      </c>
      <c r="D16" s="38" t="n">
        <v>2</v>
      </c>
      <c r="E16" s="4" t="s">
        <v>252</v>
      </c>
      <c r="F16" s="39" t="n">
        <v>1200</v>
      </c>
      <c r="G16" s="34" t="n">
        <f aca="false">D16*F16</f>
        <v>2400</v>
      </c>
      <c r="H16" s="31" t="s">
        <v>129</v>
      </c>
      <c r="I16" s="31" t="s">
        <v>134</v>
      </c>
      <c r="J16" s="8" t="n">
        <f aca="false">INDEX(Tareas!$M$6:$M$37,MATCH(H16,Tareas!$A$6:$A$37,0))</f>
        <v>46309</v>
      </c>
      <c r="K16" s="8" t="n">
        <f aca="false">INDEX(Tareas!$N$6:$N$37,MATCH(I16,Tareas!$A$6:$A$37,0))</f>
        <v>46338</v>
      </c>
      <c r="L16" s="6" t="s">
        <v>222</v>
      </c>
    </row>
    <row r="17" customFormat="false" ht="15" hidden="false" customHeight="false" outlineLevel="0" collapsed="false">
      <c r="A17" s="7" t="s">
        <v>253</v>
      </c>
      <c r="G17" s="37" t="n">
        <f aca="false">SUM(G5:G16)</f>
        <v>136774</v>
      </c>
    </row>
    <row r="19" customFormat="false" ht="15" hidden="false" customHeight="false" outlineLevel="0" collapsed="false">
      <c r="B19" s="2" t="s">
        <v>254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8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62"/>
    <col collapsed="false" customWidth="true" hidden="false" outlineLevel="0" max="3" min="3" style="0" width="16"/>
    <col collapsed="false" customWidth="true" hidden="false" outlineLevel="0" max="12" min="4" style="0" width="13"/>
  </cols>
  <sheetData>
    <row r="1" customFormat="false" ht="17.35" hidden="false" customHeight="false" outlineLevel="0" collapsed="false">
      <c r="A1" s="1" t="s">
        <v>255</v>
      </c>
    </row>
    <row r="2" customFormat="false" ht="15" hidden="false" customHeight="false" outlineLevel="0" collapsed="false">
      <c r="A2" s="2" t="s">
        <v>256</v>
      </c>
    </row>
    <row r="4" customFormat="false" ht="15" hidden="false" customHeight="false" outlineLevel="0" collapsed="false">
      <c r="A4" s="11" t="s">
        <v>257</v>
      </c>
    </row>
    <row r="5" customFormat="false" ht="23.85" hidden="false" customHeight="false" outlineLevel="0" collapsed="false">
      <c r="A5" s="3" t="s">
        <v>258</v>
      </c>
      <c r="B5" s="3" t="s">
        <v>259</v>
      </c>
      <c r="C5" s="3" t="s">
        <v>260</v>
      </c>
      <c r="D5" s="3" t="s">
        <v>261</v>
      </c>
      <c r="E5" s="3" t="s">
        <v>262</v>
      </c>
      <c r="F5" s="3" t="s">
        <v>263</v>
      </c>
      <c r="G5" s="3" t="s">
        <v>264</v>
      </c>
    </row>
    <row r="6" customFormat="false" ht="15" hidden="false" customHeight="false" outlineLevel="0" collapsed="false">
      <c r="A6" s="4" t="s">
        <v>212</v>
      </c>
      <c r="B6" s="39" t="n">
        <v>108000</v>
      </c>
      <c r="C6" s="9" t="n">
        <f aca="false">SUMIF(Costos!$J$5:$J$88,A6,Costos!$I$5:$I$88)</f>
        <v>0</v>
      </c>
      <c r="D6" s="9" t="n">
        <f aca="false">SUMIF(Partidas!$C$5:$C$16,A6,Partidas!$G$5:$G$16)</f>
        <v>108000</v>
      </c>
      <c r="E6" s="34" t="n">
        <f aca="false">C6+D6</f>
        <v>108000</v>
      </c>
      <c r="F6" s="34" t="n">
        <f aca="false">E6-B6</f>
        <v>0</v>
      </c>
      <c r="G6" s="40" t="n">
        <f aca="false">F6/B6</f>
        <v>0</v>
      </c>
    </row>
    <row r="7" customFormat="false" ht="15" hidden="false" customHeight="false" outlineLevel="0" collapsed="false">
      <c r="A7" s="4" t="s">
        <v>265</v>
      </c>
      <c r="B7" s="39" t="n">
        <v>168000</v>
      </c>
      <c r="C7" s="9" t="n">
        <f aca="false">SUMIF(Costos!$J$5:$J$88,A7,Costos!$I$5:$I$88)</f>
        <v>148412</v>
      </c>
      <c r="D7" s="9" t="n">
        <f aca="false">SUMIF(Partidas!$C$5:$C$16,A7,Partidas!$G$5:$G$16)</f>
        <v>0</v>
      </c>
      <c r="E7" s="34" t="n">
        <f aca="false">C7+D7</f>
        <v>148412</v>
      </c>
      <c r="F7" s="34" t="n">
        <f aca="false">E7-B7</f>
        <v>-19588</v>
      </c>
      <c r="G7" s="40" t="n">
        <f aca="false">F7/B7</f>
        <v>-0.116595238095238</v>
      </c>
    </row>
    <row r="8" customFormat="false" ht="15" hidden="false" customHeight="false" outlineLevel="0" collapsed="false">
      <c r="A8" s="4" t="s">
        <v>249</v>
      </c>
      <c r="B8" s="39" t="n">
        <v>46000</v>
      </c>
      <c r="C8" s="9" t="n">
        <f aca="false">SUMIF(Costos!$J$5:$J$88,A8,Costos!$I$5:$I$88)</f>
        <v>34080</v>
      </c>
      <c r="D8" s="9" t="n">
        <f aca="false">SUMIF(Partidas!$C$5:$C$16,A8,Partidas!$G$5:$G$16)</f>
        <v>9900</v>
      </c>
      <c r="E8" s="34" t="n">
        <f aca="false">C8+D8</f>
        <v>43980</v>
      </c>
      <c r="F8" s="34" t="n">
        <f aca="false">E8-B8</f>
        <v>-2020</v>
      </c>
      <c r="G8" s="40" t="n">
        <f aca="false">F8/B8</f>
        <v>-0.0439130434782609</v>
      </c>
    </row>
    <row r="9" customFormat="false" ht="15" hidden="false" customHeight="false" outlineLevel="0" collapsed="false">
      <c r="A9" s="4" t="s">
        <v>217</v>
      </c>
      <c r="B9" s="39" t="n">
        <v>22000</v>
      </c>
      <c r="C9" s="9" t="n">
        <f aca="false">SUMIF(Costos!$J$5:$J$88,A9,Costos!$I$5:$I$88)</f>
        <v>10396</v>
      </c>
      <c r="D9" s="9" t="n">
        <f aca="false">SUMIF(Partidas!$C$5:$C$16,A9,Partidas!$G$5:$G$16)</f>
        <v>7174</v>
      </c>
      <c r="E9" s="34" t="n">
        <f aca="false">C9+D9</f>
        <v>17570</v>
      </c>
      <c r="F9" s="34" t="n">
        <f aca="false">E9-B9</f>
        <v>-4430</v>
      </c>
      <c r="G9" s="40" t="n">
        <f aca="false">F9/B9</f>
        <v>-0.201363636363636</v>
      </c>
    </row>
    <row r="10" customFormat="false" ht="15" hidden="false" customHeight="false" outlineLevel="0" collapsed="false">
      <c r="A10" s="4" t="s">
        <v>234</v>
      </c>
      <c r="B10" s="39" t="n">
        <v>38000</v>
      </c>
      <c r="C10" s="9" t="n">
        <f aca="false">SUMIF(Costos!$J$5:$J$88,A10,Costos!$I$5:$I$88)</f>
        <v>24000</v>
      </c>
      <c r="D10" s="9" t="n">
        <f aca="false">SUMIF(Partidas!$C$5:$C$16,A10,Partidas!$G$5:$G$16)</f>
        <v>11700</v>
      </c>
      <c r="E10" s="34" t="n">
        <f aca="false">C10+D10</f>
        <v>35700</v>
      </c>
      <c r="F10" s="34" t="n">
        <f aca="false">E10-B10</f>
        <v>-2300</v>
      </c>
      <c r="G10" s="40" t="n">
        <f aca="false">F10/B10</f>
        <v>-0.0605263157894737</v>
      </c>
    </row>
    <row r="11" customFormat="false" ht="15" hidden="false" customHeight="false" outlineLevel="0" collapsed="false">
      <c r="A11" s="4" t="s">
        <v>266</v>
      </c>
      <c r="B11" s="39" t="n">
        <v>16000</v>
      </c>
      <c r="C11" s="9" t="n">
        <f aca="false">SUMIF(Costos!$J$5:$J$88,A11,Costos!$I$5:$I$88)</f>
        <v>19038</v>
      </c>
      <c r="D11" s="9" t="n">
        <f aca="false">SUMIF(Partidas!$C$5:$C$16,A11,Partidas!$G$5:$G$16)</f>
        <v>0</v>
      </c>
      <c r="E11" s="34" t="n">
        <f aca="false">C11+D11</f>
        <v>19038</v>
      </c>
      <c r="F11" s="34" t="n">
        <f aca="false">E11-B11</f>
        <v>3038</v>
      </c>
      <c r="G11" s="40" t="n">
        <f aca="false">F11/B11</f>
        <v>0.189875</v>
      </c>
    </row>
    <row r="12" customFormat="false" ht="15" hidden="false" customHeight="false" outlineLevel="0" collapsed="false">
      <c r="A12" s="7" t="s">
        <v>267</v>
      </c>
      <c r="B12" s="37" t="n">
        <f aca="false">SUM(B6:B11)</f>
        <v>398000</v>
      </c>
      <c r="C12" s="37" t="n">
        <f aca="false">SUM(C6:C11)</f>
        <v>235926</v>
      </c>
      <c r="D12" s="37" t="n">
        <f aca="false">SUM(D6:D11)</f>
        <v>136774</v>
      </c>
      <c r="E12" s="37" t="n">
        <f aca="false">SUM(E6:E11)</f>
        <v>372700</v>
      </c>
      <c r="F12" s="37" t="n">
        <f aca="false">SUM(F6:F11)</f>
        <v>-25300</v>
      </c>
      <c r="G12" s="41" t="n">
        <f aca="false">F12/B12</f>
        <v>-0.0635678391959799</v>
      </c>
    </row>
    <row r="13" customFormat="false" ht="15" hidden="false" customHeight="false" outlineLevel="0" collapsed="false">
      <c r="A13" s="4" t="s">
        <v>268</v>
      </c>
      <c r="B13" s="7" t="str">
        <f aca="false">IF(B12=CostoBaseN1,"OK","REVISAR")</f>
        <v>OK</v>
      </c>
    </row>
    <row r="14" customFormat="false" ht="15" hidden="false" customHeight="false" outlineLevel="0" collapsed="false">
      <c r="A14" s="4" t="s">
        <v>269</v>
      </c>
      <c r="B14" s="7" t="str">
        <f aca="false">IF(ABS(G12)&lt;=Tolerancia,"Sí: dentro de ±"&amp;TEXT(Tolerancia,"0%"),"No")</f>
        <v>Sí: dentro de ±10%</v>
      </c>
    </row>
    <row r="16" customFormat="false" ht="15" hidden="false" customHeight="false" outlineLevel="0" collapsed="false">
      <c r="A16" s="11" t="s">
        <v>270</v>
      </c>
    </row>
    <row r="17" customFormat="false" ht="15" hidden="false" customHeight="false" outlineLevel="0" collapsed="false">
      <c r="A17" s="3" t="s">
        <v>204</v>
      </c>
      <c r="B17" s="3" t="s">
        <v>271</v>
      </c>
      <c r="C17" s="3" t="s">
        <v>4</v>
      </c>
    </row>
    <row r="18" customFormat="false" ht="15" hidden="false" customHeight="false" outlineLevel="0" collapsed="false">
      <c r="A18" s="4" t="s">
        <v>272</v>
      </c>
      <c r="B18" s="34" t="n">
        <f aca="false">E12</f>
        <v>372700</v>
      </c>
      <c r="C18" s="6" t="s">
        <v>273</v>
      </c>
    </row>
    <row r="19" customFormat="false" ht="15" hidden="false" customHeight="false" outlineLevel="0" collapsed="false">
      <c r="A19" s="4" t="s">
        <v>274</v>
      </c>
      <c r="B19" s="34" t="n">
        <f aca="false">Contingencia</f>
        <v>22000</v>
      </c>
      <c r="C19" s="6" t="s">
        <v>275</v>
      </c>
    </row>
    <row r="20" customFormat="false" ht="15" hidden="false" customHeight="false" outlineLevel="0" collapsed="false">
      <c r="A20" s="7" t="s">
        <v>276</v>
      </c>
      <c r="B20" s="34" t="n">
        <f aca="false">B18+B19</f>
        <v>394700</v>
      </c>
      <c r="C20" s="6" t="s">
        <v>277</v>
      </c>
    </row>
    <row r="21" customFormat="false" ht="15" hidden="false" customHeight="false" outlineLevel="0" collapsed="false">
      <c r="A21" s="4" t="s">
        <v>278</v>
      </c>
      <c r="B21" s="34" t="n">
        <f aca="false">PctRG*B20</f>
        <v>15788</v>
      </c>
      <c r="C21" s="6" t="s">
        <v>279</v>
      </c>
    </row>
    <row r="22" customFormat="false" ht="15" hidden="false" customHeight="false" outlineLevel="0" collapsed="false">
      <c r="A22" s="7" t="s">
        <v>280</v>
      </c>
      <c r="B22" s="34" t="n">
        <f aca="false">B20+B21</f>
        <v>410488</v>
      </c>
      <c r="C22" s="6" t="s">
        <v>281</v>
      </c>
    </row>
    <row r="23" customFormat="false" ht="15" hidden="false" customHeight="false" outlineLevel="0" collapsed="false">
      <c r="A23" s="4" t="s">
        <v>282</v>
      </c>
      <c r="B23" s="34" t="n">
        <f aca="false">Autorizado</f>
        <v>420000</v>
      </c>
      <c r="C23" s="6" t="s">
        <v>283</v>
      </c>
    </row>
    <row r="24" customFormat="false" ht="15" hidden="false" customHeight="false" outlineLevel="0" collapsed="false">
      <c r="A24" s="4" t="s">
        <v>284</v>
      </c>
      <c r="B24" s="34" t="n">
        <f aca="false">B23-B22</f>
        <v>9512</v>
      </c>
      <c r="C24" s="6" t="s">
        <v>285</v>
      </c>
    </row>
    <row r="25" customFormat="false" ht="15" hidden="false" customHeight="false" outlineLevel="0" collapsed="false">
      <c r="A25" s="4" t="s">
        <v>286</v>
      </c>
      <c r="B25" s="34" t="n">
        <f aca="false">Autorizado*(1-Tolerancia)</f>
        <v>378000</v>
      </c>
      <c r="C25" s="6" t="s">
        <v>287</v>
      </c>
    </row>
    <row r="26" customFormat="false" ht="15" hidden="false" customHeight="false" outlineLevel="0" collapsed="false">
      <c r="A26" s="4" t="s">
        <v>288</v>
      </c>
      <c r="B26" s="34" t="n">
        <f aca="false">Autorizado*(1+Tolerancia)</f>
        <v>462000</v>
      </c>
      <c r="C26" s="6" t="s">
        <v>289</v>
      </c>
    </row>
    <row r="27" customFormat="false" ht="15" hidden="false" customHeight="false" outlineLevel="0" collapsed="false">
      <c r="A27" s="4" t="s">
        <v>290</v>
      </c>
      <c r="B27" s="34" t="str">
        <f aca="false">IF(AND(B20&gt;=B25,B20&lt;=B26),"OK","REVISAR")</f>
        <v>OK</v>
      </c>
      <c r="C27" s="6"/>
    </row>
    <row r="30" customFormat="false" ht="15" hidden="false" customHeight="false" outlineLevel="0" collapsed="false">
      <c r="A30" s="11" t="s">
        <v>291</v>
      </c>
    </row>
    <row r="31" customFormat="false" ht="15" hidden="false" customHeight="false" outlineLevel="0" collapsed="false">
      <c r="A31" s="3" t="s">
        <v>72</v>
      </c>
      <c r="B31" s="3" t="s">
        <v>204</v>
      </c>
      <c r="C31" s="3" t="s">
        <v>190</v>
      </c>
      <c r="D31" s="3" t="s">
        <v>84</v>
      </c>
      <c r="E31" s="3" t="s">
        <v>85</v>
      </c>
      <c r="F31" s="42" t="n">
        <v>46296</v>
      </c>
      <c r="G31" s="42" t="n">
        <v>46327</v>
      </c>
      <c r="H31" s="42" t="n">
        <v>46357</v>
      </c>
      <c r="I31" s="42" t="n">
        <v>46388</v>
      </c>
      <c r="J31" s="42" t="n">
        <v>46419</v>
      </c>
      <c r="K31" s="42" t="n">
        <v>46447</v>
      </c>
      <c r="L31" s="42" t="n">
        <v>46478</v>
      </c>
    </row>
    <row r="32" customFormat="false" ht="15" hidden="false" customHeight="false" outlineLevel="0" collapsed="false">
      <c r="B32" s="2" t="s">
        <v>292</v>
      </c>
      <c r="F32" s="43" t="n">
        <f aca="false">EOMONTH(F31,0)</f>
        <v>46326</v>
      </c>
      <c r="G32" s="43" t="n">
        <f aca="false">EOMONTH(G31,0)</f>
        <v>46356</v>
      </c>
      <c r="H32" s="43" t="n">
        <f aca="false">EOMONTH(H31,0)</f>
        <v>46387</v>
      </c>
      <c r="I32" s="43" t="n">
        <f aca="false">EOMONTH(I31,0)</f>
        <v>46418</v>
      </c>
      <c r="J32" s="43" t="n">
        <f aca="false">EOMONTH(J31,0)</f>
        <v>46446</v>
      </c>
      <c r="K32" s="43" t="n">
        <f aca="false">EOMONTH(K31,0)</f>
        <v>46477</v>
      </c>
      <c r="L32" s="43" t="n">
        <f aca="false">EOMONTH(L31,0)</f>
        <v>46507</v>
      </c>
    </row>
    <row r="33" customFormat="false" ht="15" hidden="false" customHeight="false" outlineLevel="0" collapsed="false">
      <c r="A33" s="4" t="s">
        <v>86</v>
      </c>
      <c r="B33" s="30" t="str">
        <f aca="false">INDEX(Tareas!$B$6:$B$37,MATCH(A33,Tareas!$A$6:$A$37,0))</f>
        <v>Acta de constitución</v>
      </c>
      <c r="C33" s="9" t="n">
        <f aca="false">SUMIF(Costos!$A$5:$A$88,A33,Costos!$I$5:$I$88)</f>
        <v>1040</v>
      </c>
      <c r="D33" s="8" t="n">
        <f aca="false">INDEX(Tareas!$M$6:$M$37,MATCH(A33,Tareas!$A$6:$A$37,0))</f>
        <v>46296</v>
      </c>
      <c r="E33" s="8" t="n">
        <f aca="false">INDEX(Tareas!$N$6:$N$37,MATCH(A33,Tareas!$A$6:$A$37,0))</f>
        <v>46297</v>
      </c>
      <c r="F33" s="34" t="n">
        <f aca="false">IF(OR($E33&lt;F$31,$D33&gt;F$32),0,$C33*NETWORKDAYS(MAX($D33,F$31),MIN($E33,F$32),Feriados)/NETWORKDAYS($D33,$E33,Feriados))</f>
        <v>1040</v>
      </c>
      <c r="G33" s="34" t="n">
        <f aca="false">IF(OR($E33&lt;G$31,$D33&gt;G$32),0,$C33*NETWORKDAYS(MAX($D33,G$31),MIN($E33,G$32),Feriados)/NETWORKDAYS($D33,$E33,Feriados))</f>
        <v>0</v>
      </c>
      <c r="H33" s="34" t="n">
        <f aca="false">IF(OR($E33&lt;H$31,$D33&gt;H$32),0,$C33*NETWORKDAYS(MAX($D33,H$31),MIN($E33,H$32),Feriados)/NETWORKDAYS($D33,$E33,Feriados))</f>
        <v>0</v>
      </c>
      <c r="I33" s="34" t="n">
        <f aca="false">IF(OR($E33&lt;I$31,$D33&gt;I$32),0,$C33*NETWORKDAYS(MAX($D33,I$31),MIN($E33,I$32),Feriados)/NETWORKDAYS($D33,$E33,Feriados))</f>
        <v>0</v>
      </c>
      <c r="J33" s="34" t="n">
        <f aca="false">IF(OR($E33&lt;J$31,$D33&gt;J$32),0,$C33*NETWORKDAYS(MAX($D33,J$31),MIN($E33,J$32),Feriados)/NETWORKDAYS($D33,$E33,Feriados))</f>
        <v>0</v>
      </c>
      <c r="K33" s="34" t="n">
        <f aca="false">IF(OR($E33&lt;K$31,$D33&gt;K$32),0,$C33*NETWORKDAYS(MAX($D33,K$31),MIN($E33,K$32),Feriados)/NETWORKDAYS($D33,$E33,Feriados))</f>
        <v>0</v>
      </c>
      <c r="L33" s="34" t="n">
        <f aca="false">IF(OR($E33&lt;L$31,$D33&gt;L$32),0,$C33*NETWORKDAYS(MAX($D33,L$31),MIN($E33,L$32),Feriados)/NETWORKDAYS($D33,$E33,Feriados))</f>
        <v>0</v>
      </c>
    </row>
    <row r="34" customFormat="false" ht="15" hidden="false" customHeight="false" outlineLevel="0" collapsed="false">
      <c r="A34" s="4" t="s">
        <v>90</v>
      </c>
      <c r="B34" s="30" t="str">
        <f aca="false">INDEX(Tareas!$B$6:$B$37,MATCH(A34,Tareas!$A$6:$A$37,0))</f>
        <v>Declaración del alcance y EDT</v>
      </c>
      <c r="C34" s="9" t="n">
        <f aca="false">SUMIF(Costos!$A$5:$A$88,A34,Costos!$I$5:$I$88)</f>
        <v>2136</v>
      </c>
      <c r="D34" s="8" t="n">
        <f aca="false">INDEX(Tareas!$M$6:$M$37,MATCH(A34,Tareas!$A$6:$A$37,0))</f>
        <v>46300</v>
      </c>
      <c r="E34" s="8" t="n">
        <f aca="false">INDEX(Tareas!$N$6:$N$37,MATCH(A34,Tareas!$A$6:$A$37,0))</f>
        <v>46308</v>
      </c>
      <c r="F34" s="34" t="n">
        <f aca="false">IF(OR($E34&lt;F$31,$D34&gt;F$32),0,$C34*NETWORKDAYS(MAX($D34,F$31),MIN($E34,F$32),Feriados)/NETWORKDAYS($D34,$E34,Feriados))</f>
        <v>2136</v>
      </c>
      <c r="G34" s="34" t="n">
        <f aca="false">IF(OR($E34&lt;G$31,$D34&gt;G$32),0,$C34*NETWORKDAYS(MAX($D34,G$31),MIN($E34,G$32),Feriados)/NETWORKDAYS($D34,$E34,Feriados))</f>
        <v>0</v>
      </c>
      <c r="H34" s="34" t="n">
        <f aca="false">IF(OR($E34&lt;H$31,$D34&gt;H$32),0,$C34*NETWORKDAYS(MAX($D34,H$31),MIN($E34,H$32),Feriados)/NETWORKDAYS($D34,$E34,Feriados))</f>
        <v>0</v>
      </c>
      <c r="I34" s="34" t="n">
        <f aca="false">IF(OR($E34&lt;I$31,$D34&gt;I$32),0,$C34*NETWORKDAYS(MAX($D34,I$31),MIN($E34,I$32),Feriados)/NETWORKDAYS($D34,$E34,Feriados))</f>
        <v>0</v>
      </c>
      <c r="J34" s="34" t="n">
        <f aca="false">IF(OR($E34&lt;J$31,$D34&gt;J$32),0,$C34*NETWORKDAYS(MAX($D34,J$31),MIN($E34,J$32),Feriados)/NETWORKDAYS($D34,$E34,Feriados))</f>
        <v>0</v>
      </c>
      <c r="K34" s="34" t="n">
        <f aca="false">IF(OR($E34&lt;K$31,$D34&gt;K$32),0,$C34*NETWORKDAYS(MAX($D34,K$31),MIN($E34,K$32),Feriados)/NETWORKDAYS($D34,$E34,Feriados))</f>
        <v>0</v>
      </c>
      <c r="L34" s="34" t="n">
        <f aca="false">IF(OR($E34&lt;L$31,$D34&gt;L$32),0,$C34*NETWORKDAYS(MAX($D34,L$31),MIN($E34,L$32),Feriados)/NETWORKDAYS($D34,$E34,Feriados))</f>
        <v>0</v>
      </c>
    </row>
    <row r="35" customFormat="false" ht="15" hidden="false" customHeight="false" outlineLevel="0" collapsed="false">
      <c r="A35" s="4" t="s">
        <v>92</v>
      </c>
      <c r="B35" s="30" t="str">
        <f aca="false">INDEX(Tareas!$B$6:$B$37,MATCH(A35,Tareas!$A$6:$A$37,0))</f>
        <v>Cronograma, presupuesto y línea base</v>
      </c>
      <c r="C35" s="9" t="n">
        <f aca="false">SUMIF(Costos!$A$5:$A$88,A35,Costos!$I$5:$I$88)</f>
        <v>936</v>
      </c>
      <c r="D35" s="8" t="n">
        <f aca="false">INDEX(Tareas!$M$6:$M$37,MATCH(A35,Tareas!$A$6:$A$37,0))</f>
        <v>46300</v>
      </c>
      <c r="E35" s="8" t="n">
        <f aca="false">INDEX(Tareas!$N$6:$N$37,MATCH(A35,Tareas!$A$6:$A$37,0))</f>
        <v>46308</v>
      </c>
      <c r="F35" s="34" t="n">
        <f aca="false">IF(OR($E35&lt;F$31,$D35&gt;F$32),0,$C35*NETWORKDAYS(MAX($D35,F$31),MIN($E35,F$32),Feriados)/NETWORKDAYS($D35,$E35,Feriados))</f>
        <v>936</v>
      </c>
      <c r="G35" s="34" t="n">
        <f aca="false">IF(OR($E35&lt;G$31,$D35&gt;G$32),0,$C35*NETWORKDAYS(MAX($D35,G$31),MIN($E35,G$32),Feriados)/NETWORKDAYS($D35,$E35,Feriados))</f>
        <v>0</v>
      </c>
      <c r="H35" s="34" t="n">
        <f aca="false">IF(OR($E35&lt;H$31,$D35&gt;H$32),0,$C35*NETWORKDAYS(MAX($D35,H$31),MIN($E35,H$32),Feriados)/NETWORKDAYS($D35,$E35,Feriados))</f>
        <v>0</v>
      </c>
      <c r="I35" s="34" t="n">
        <f aca="false">IF(OR($E35&lt;I$31,$D35&gt;I$32),0,$C35*NETWORKDAYS(MAX($D35,I$31),MIN($E35,I$32),Feriados)/NETWORKDAYS($D35,$E35,Feriados))</f>
        <v>0</v>
      </c>
      <c r="J35" s="34" t="n">
        <f aca="false">IF(OR($E35&lt;J$31,$D35&gt;J$32),0,$C35*NETWORKDAYS(MAX($D35,J$31),MIN($E35,J$32),Feriados)/NETWORKDAYS($D35,$E35,Feriados))</f>
        <v>0</v>
      </c>
      <c r="K35" s="34" t="n">
        <f aca="false">IF(OR($E35&lt;K$31,$D35&gt;K$32),0,$C35*NETWORKDAYS(MAX($D35,K$31),MIN($E35,K$32),Feriados)/NETWORKDAYS($D35,$E35,Feriados))</f>
        <v>0</v>
      </c>
      <c r="L35" s="34" t="n">
        <f aca="false">IF(OR($E35&lt;L$31,$D35&gt;L$32),0,$C35*NETWORKDAYS(MAX($D35,L$31),MIN($E35,L$32),Feriados)/NETWORKDAYS($D35,$E35,Feriados))</f>
        <v>0</v>
      </c>
    </row>
    <row r="36" customFormat="false" ht="15" hidden="false" customHeight="false" outlineLevel="0" collapsed="false">
      <c r="A36" s="4" t="s">
        <v>94</v>
      </c>
      <c r="B36" s="30" t="str">
        <f aca="false">INDEX(Tareas!$B$6:$B$37,MATCH(A36,Tareas!$A$6:$A$37,0))</f>
        <v>Registro de riesgos e interesados</v>
      </c>
      <c r="C36" s="9" t="n">
        <f aca="false">SUMIF(Costos!$A$5:$A$88,A36,Costos!$I$5:$I$88)</f>
        <v>600</v>
      </c>
      <c r="D36" s="8" t="n">
        <f aca="false">INDEX(Tareas!$M$6:$M$37,MATCH(A36,Tareas!$A$6:$A$37,0))</f>
        <v>46300</v>
      </c>
      <c r="E36" s="8" t="n">
        <f aca="false">INDEX(Tareas!$N$6:$N$37,MATCH(A36,Tareas!$A$6:$A$37,0))</f>
        <v>46304</v>
      </c>
      <c r="F36" s="34" t="n">
        <f aca="false">IF(OR($E36&lt;F$31,$D36&gt;F$32),0,$C36*NETWORKDAYS(MAX($D36,F$31),MIN($E36,F$32),Feriados)/NETWORKDAYS($D36,$E36,Feriados))</f>
        <v>600</v>
      </c>
      <c r="G36" s="34" t="n">
        <f aca="false">IF(OR($E36&lt;G$31,$D36&gt;G$32),0,$C36*NETWORKDAYS(MAX($D36,G$31),MIN($E36,G$32),Feriados)/NETWORKDAYS($D36,$E36,Feriados))</f>
        <v>0</v>
      </c>
      <c r="H36" s="34" t="n">
        <f aca="false">IF(OR($E36&lt;H$31,$D36&gt;H$32),0,$C36*NETWORKDAYS(MAX($D36,H$31),MIN($E36,H$32),Feriados)/NETWORKDAYS($D36,$E36,Feriados))</f>
        <v>0</v>
      </c>
      <c r="I36" s="34" t="n">
        <f aca="false">IF(OR($E36&lt;I$31,$D36&gt;I$32),0,$C36*NETWORKDAYS(MAX($D36,I$31),MIN($E36,I$32),Feriados)/NETWORKDAYS($D36,$E36,Feriados))</f>
        <v>0</v>
      </c>
      <c r="J36" s="34" t="n">
        <f aca="false">IF(OR($E36&lt;J$31,$D36&gt;J$32),0,$C36*NETWORKDAYS(MAX($D36,J$31),MIN($E36,J$32),Feriados)/NETWORKDAYS($D36,$E36,Feriados))</f>
        <v>0</v>
      </c>
      <c r="K36" s="34" t="n">
        <f aca="false">IF(OR($E36&lt;K$31,$D36&gt;K$32),0,$C36*NETWORKDAYS(MAX($D36,K$31),MIN($E36,K$32),Feriados)/NETWORKDAYS($D36,$E36,Feriados))</f>
        <v>0</v>
      </c>
      <c r="L36" s="34" t="n">
        <f aca="false">IF(OR($E36&lt;L$31,$D36&gt;L$32),0,$C36*NETWORKDAYS(MAX($D36,L$31),MIN($E36,L$32),Feriados)/NETWORKDAYS($D36,$E36,Feriados))</f>
        <v>0</v>
      </c>
    </row>
    <row r="37" customFormat="false" ht="15" hidden="false" customHeight="false" outlineLevel="0" collapsed="false">
      <c r="A37" s="4" t="s">
        <v>96</v>
      </c>
      <c r="B37" s="30" t="str">
        <f aca="false">INDEX(Tareas!$B$6:$B$37,MATCH(A37,Tareas!$A$6:$A$37,0))</f>
        <v>Seguimiento, cambios e informes (tarea resumen)</v>
      </c>
      <c r="C37" s="9" t="n">
        <f aca="false">SUMIF(Costos!$A$5:$A$88,A37,Costos!$I$5:$I$88)</f>
        <v>34320</v>
      </c>
      <c r="D37" s="8" t="n">
        <f aca="false">INDEX(Tareas!$M$6:$M$37,MATCH(A37,Tareas!$A$6:$A$37,0))</f>
        <v>46309</v>
      </c>
      <c r="E37" s="8" t="n">
        <f aca="false">INDEX(Tareas!$N$6:$N$37,MATCH(A37,Tareas!$A$6:$A$37,0))</f>
        <v>46507</v>
      </c>
      <c r="F37" s="34" t="n">
        <f aca="false">IF(OR($E37&lt;F$31,$D37&gt;F$32),0,$C37*NETWORKDAYS(MAX($D37,F$31),MIN($E37,F$32),Feriados)/NETWORKDAYS($D37,$E37,Feriados))</f>
        <v>3380</v>
      </c>
      <c r="G37" s="34" t="n">
        <f aca="false">IF(OR($E37&lt;G$31,$D37&gt;G$32),0,$C37*NETWORKDAYS(MAX($D37,G$31),MIN($E37,G$32),Feriados)/NETWORKDAYS($D37,$E37,Feriados))</f>
        <v>5200</v>
      </c>
      <c r="H37" s="34" t="n">
        <f aca="false">IF(OR($E37&lt;H$31,$D37&gt;H$32),0,$C37*NETWORKDAYS(MAX($D37,H$31),MIN($E37,H$32),Feriados)/NETWORKDAYS($D37,$E37,Feriados))</f>
        <v>5200</v>
      </c>
      <c r="I37" s="34" t="n">
        <f aca="false">IF(OR($E37&lt;I$31,$D37&gt;I$32),0,$C37*NETWORKDAYS(MAX($D37,I$31),MIN($E37,I$32),Feriados)/NETWORKDAYS($D37,$E37,Feriados))</f>
        <v>5200</v>
      </c>
      <c r="J37" s="34" t="n">
        <f aca="false">IF(OR($E37&lt;J$31,$D37&gt;J$32),0,$C37*NETWORKDAYS(MAX($D37,J$31),MIN($E37,J$32),Feriados)/NETWORKDAYS($D37,$E37,Feriados))</f>
        <v>4680</v>
      </c>
      <c r="K37" s="34" t="n">
        <f aca="false">IF(OR($E37&lt;K$31,$D37&gt;K$32),0,$C37*NETWORKDAYS(MAX($D37,K$31),MIN($E37,K$32),Feriados)/NETWORKDAYS($D37,$E37,Feriados))</f>
        <v>5200</v>
      </c>
      <c r="L37" s="34" t="n">
        <f aca="false">IF(OR($E37&lt;L$31,$D37&gt;L$32),0,$C37*NETWORKDAYS(MAX($D37,L$31),MIN($E37,L$32),Feriados)/NETWORKDAYS($D37,$E37,Feriados))</f>
        <v>5460</v>
      </c>
    </row>
    <row r="38" customFormat="false" ht="15" hidden="false" customHeight="false" outlineLevel="0" collapsed="false">
      <c r="A38" s="4" t="s">
        <v>100</v>
      </c>
      <c r="B38" s="30" t="str">
        <f aca="false">INDEX(Tareas!$B$6:$B$37,MATCH(A38,Tareas!$A$6:$A$37,0))</f>
        <v>Cierre y lecciones aprendidas</v>
      </c>
      <c r="C38" s="9" t="n">
        <f aca="false">SUMIF(Costos!$A$5:$A$88,A38,Costos!$I$5:$I$88)</f>
        <v>1020</v>
      </c>
      <c r="D38" s="8" t="n">
        <f aca="false">INDEX(Tareas!$M$6:$M$37,MATCH(A38,Tareas!$A$6:$A$37,0))</f>
        <v>46503</v>
      </c>
      <c r="E38" s="8" t="n">
        <f aca="false">INDEX(Tareas!$N$6:$N$37,MATCH(A38,Tareas!$A$6:$A$37,0))</f>
        <v>46507</v>
      </c>
      <c r="F38" s="34" t="n">
        <f aca="false">IF(OR($E38&lt;F$31,$D38&gt;F$32),0,$C38*NETWORKDAYS(MAX($D38,F$31),MIN($E38,F$32),Feriados)/NETWORKDAYS($D38,$E38,Feriados))</f>
        <v>0</v>
      </c>
      <c r="G38" s="34" t="n">
        <f aca="false">IF(OR($E38&lt;G$31,$D38&gt;G$32),0,$C38*NETWORKDAYS(MAX($D38,G$31),MIN($E38,G$32),Feriados)/NETWORKDAYS($D38,$E38,Feriados))</f>
        <v>0</v>
      </c>
      <c r="H38" s="34" t="n">
        <f aca="false">IF(OR($E38&lt;H$31,$D38&gt;H$32),0,$C38*NETWORKDAYS(MAX($D38,H$31),MIN($E38,H$32),Feriados)/NETWORKDAYS($D38,$E38,Feriados))</f>
        <v>0</v>
      </c>
      <c r="I38" s="34" t="n">
        <f aca="false">IF(OR($E38&lt;I$31,$D38&gt;I$32),0,$C38*NETWORKDAYS(MAX($D38,I$31),MIN($E38,I$32),Feriados)/NETWORKDAYS($D38,$E38,Feriados))</f>
        <v>0</v>
      </c>
      <c r="J38" s="34" t="n">
        <f aca="false">IF(OR($E38&lt;J$31,$D38&gt;J$32),0,$C38*NETWORKDAYS(MAX($D38,J$31),MIN($E38,J$32),Feriados)/NETWORKDAYS($D38,$E38,Feriados))</f>
        <v>0</v>
      </c>
      <c r="K38" s="34" t="n">
        <f aca="false">IF(OR($E38&lt;K$31,$D38&gt;K$32),0,$C38*NETWORKDAYS(MAX($D38,K$31),MIN($E38,K$32),Feriados)/NETWORKDAYS($D38,$E38,Feriados))</f>
        <v>0</v>
      </c>
      <c r="L38" s="34" t="n">
        <f aca="false">IF(OR($E38&lt;L$31,$D38&gt;L$32),0,$C38*NETWORKDAYS(MAX($D38,L$31),MIN($E38,L$32),Feriados)/NETWORKDAYS($D38,$E38,Feriados))</f>
        <v>1020</v>
      </c>
    </row>
    <row r="39" customFormat="false" ht="15" hidden="false" customHeight="false" outlineLevel="0" collapsed="false">
      <c r="A39" s="4" t="s">
        <v>103</v>
      </c>
      <c r="B39" s="30" t="str">
        <f aca="false">INDEX(Tareas!$B$6:$B$37,MATCH(A39,Tareas!$A$6:$A$37,0))</f>
        <v>Relevamiento y reglas de negocio</v>
      </c>
      <c r="C39" s="9" t="n">
        <f aca="false">SUMIF(Costos!$A$5:$A$88,A39,Costos!$I$5:$I$88)</f>
        <v>7060</v>
      </c>
      <c r="D39" s="8" t="n">
        <f aca="false">INDEX(Tareas!$M$6:$M$37,MATCH(A39,Tareas!$A$6:$A$37,0))</f>
        <v>46309</v>
      </c>
      <c r="E39" s="8" t="n">
        <f aca="false">INDEX(Tareas!$N$6:$N$37,MATCH(A39,Tareas!$A$6:$A$37,0))</f>
        <v>46322</v>
      </c>
      <c r="F39" s="34" t="n">
        <f aca="false">IF(OR($E39&lt;F$31,$D39&gt;F$32),0,$C39*NETWORKDAYS(MAX($D39,F$31),MIN($E39,F$32),Feriados)/NETWORKDAYS($D39,$E39,Feriados))</f>
        <v>7060</v>
      </c>
      <c r="G39" s="34" t="n">
        <f aca="false">IF(OR($E39&lt;G$31,$D39&gt;G$32),0,$C39*NETWORKDAYS(MAX($D39,G$31),MIN($E39,G$32),Feriados)/NETWORKDAYS($D39,$E39,Feriados))</f>
        <v>0</v>
      </c>
      <c r="H39" s="34" t="n">
        <f aca="false">IF(OR($E39&lt;H$31,$D39&gt;H$32),0,$C39*NETWORKDAYS(MAX($D39,H$31),MIN($E39,H$32),Feriados)/NETWORKDAYS($D39,$E39,Feriados))</f>
        <v>0</v>
      </c>
      <c r="I39" s="34" t="n">
        <f aca="false">IF(OR($E39&lt;I$31,$D39&gt;I$32),0,$C39*NETWORKDAYS(MAX($D39,I$31),MIN($E39,I$32),Feriados)/NETWORKDAYS($D39,$E39,Feriados))</f>
        <v>0</v>
      </c>
      <c r="J39" s="34" t="n">
        <f aca="false">IF(OR($E39&lt;J$31,$D39&gt;J$32),0,$C39*NETWORKDAYS(MAX($D39,J$31),MIN($E39,J$32),Feriados)/NETWORKDAYS($D39,$E39,Feriados))</f>
        <v>0</v>
      </c>
      <c r="K39" s="34" t="n">
        <f aca="false">IF(OR($E39&lt;K$31,$D39&gt;K$32),0,$C39*NETWORKDAYS(MAX($D39,K$31),MIN($E39,K$32),Feriados)/NETWORKDAYS($D39,$E39,Feriados))</f>
        <v>0</v>
      </c>
      <c r="L39" s="34" t="n">
        <f aca="false">IF(OR($E39&lt;L$31,$D39&gt;L$32),0,$C39*NETWORKDAYS(MAX($D39,L$31),MIN($E39,L$32),Feriados)/NETWORKDAYS($D39,$E39,Feriados))</f>
        <v>0</v>
      </c>
    </row>
    <row r="40" customFormat="false" ht="15" hidden="false" customHeight="false" outlineLevel="0" collapsed="false">
      <c r="A40" s="4" t="s">
        <v>106</v>
      </c>
      <c r="B40" s="30" t="str">
        <f aca="false">INDEX(Tareas!$B$6:$B$37,MATCH(A40,Tareas!$A$6:$A$37,0))</f>
        <v>Planos e inventario de espacios</v>
      </c>
      <c r="C40" s="9" t="n">
        <f aca="false">SUMIF(Costos!$A$5:$A$88,A40,Costos!$I$5:$I$88)</f>
        <v>2655</v>
      </c>
      <c r="D40" s="8" t="n">
        <f aca="false">INDEX(Tareas!$M$6:$M$37,MATCH(A40,Tareas!$A$6:$A$37,0))</f>
        <v>46323</v>
      </c>
      <c r="E40" s="8" t="n">
        <f aca="false">INDEX(Tareas!$N$6:$N$37,MATCH(A40,Tareas!$A$6:$A$37,0))</f>
        <v>46343</v>
      </c>
      <c r="F40" s="34" t="n">
        <f aca="false">IF(OR($E40&lt;F$31,$D40&gt;F$32),0,$C40*NETWORKDAYS(MAX($D40,F$31),MIN($E40,F$32),Feriados)/NETWORKDAYS($D40,$E40,Feriados))</f>
        <v>531</v>
      </c>
      <c r="G40" s="34" t="n">
        <f aca="false">IF(OR($E40&lt;G$31,$D40&gt;G$32),0,$C40*NETWORKDAYS(MAX($D40,G$31),MIN($E40,G$32),Feriados)/NETWORKDAYS($D40,$E40,Feriados))</f>
        <v>2124</v>
      </c>
      <c r="H40" s="34" t="n">
        <f aca="false">IF(OR($E40&lt;H$31,$D40&gt;H$32),0,$C40*NETWORKDAYS(MAX($D40,H$31),MIN($E40,H$32),Feriados)/NETWORKDAYS($D40,$E40,Feriados))</f>
        <v>0</v>
      </c>
      <c r="I40" s="34" t="n">
        <f aca="false">IF(OR($E40&lt;I$31,$D40&gt;I$32),0,$C40*NETWORKDAYS(MAX($D40,I$31),MIN($E40,I$32),Feriados)/NETWORKDAYS($D40,$E40,Feriados))</f>
        <v>0</v>
      </c>
      <c r="J40" s="34" t="n">
        <f aca="false">IF(OR($E40&lt;J$31,$D40&gt;J$32),0,$C40*NETWORKDAYS(MAX($D40,J$31),MIN($E40,J$32),Feriados)/NETWORKDAYS($D40,$E40,Feriados))</f>
        <v>0</v>
      </c>
      <c r="K40" s="34" t="n">
        <f aca="false">IF(OR($E40&lt;K$31,$D40&gt;K$32),0,$C40*NETWORKDAYS(MAX($D40,K$31),MIN($E40,K$32),Feriados)/NETWORKDAYS($D40,$E40,Feriados))</f>
        <v>0</v>
      </c>
      <c r="L40" s="34" t="n">
        <f aca="false">IF(OR($E40&lt;L$31,$D40&gt;L$32),0,$C40*NETWORKDAYS(MAX($D40,L$31),MIN($E40,L$32),Feriados)/NETWORKDAYS($D40,$E40,Feriados))</f>
        <v>0</v>
      </c>
    </row>
    <row r="41" customFormat="false" ht="15" hidden="false" customHeight="false" outlineLevel="0" collapsed="false">
      <c r="A41" s="4" t="s">
        <v>109</v>
      </c>
      <c r="B41" s="30" t="str">
        <f aca="false">INDEX(Tareas!$B$6:$B$37,MATCH(A41,Tareas!$A$6:$A$37,0))</f>
        <v>Módulo de reserva de escritorios</v>
      </c>
      <c r="C41" s="9" t="n">
        <f aca="false">SUMIF(Costos!$A$5:$A$88,A41,Costos!$I$5:$I$88)</f>
        <v>10728</v>
      </c>
      <c r="D41" s="8" t="n">
        <f aca="false">INDEX(Tareas!$M$6:$M$37,MATCH(A41,Tareas!$A$6:$A$37,0))</f>
        <v>46316</v>
      </c>
      <c r="E41" s="8" t="n">
        <f aca="false">INDEX(Tareas!$N$6:$N$37,MATCH(A41,Tareas!$A$6:$A$37,0))</f>
        <v>46339</v>
      </c>
      <c r="F41" s="34" t="n">
        <f aca="false">IF(OR($E41&lt;F$31,$D41&gt;F$32),0,$C41*NETWORKDAYS(MAX($D41,F$31),MIN($E41,F$32),Feriados)/NETWORKDAYS($D41,$E41,Feriados))</f>
        <v>4768</v>
      </c>
      <c r="G41" s="34" t="n">
        <f aca="false">IF(OR($E41&lt;G$31,$D41&gt;G$32),0,$C41*NETWORKDAYS(MAX($D41,G$31),MIN($E41,G$32),Feriados)/NETWORKDAYS($D41,$E41,Feriados))</f>
        <v>5960</v>
      </c>
      <c r="H41" s="34" t="n">
        <f aca="false">IF(OR($E41&lt;H$31,$D41&gt;H$32),0,$C41*NETWORKDAYS(MAX($D41,H$31),MIN($E41,H$32),Feriados)/NETWORKDAYS($D41,$E41,Feriados))</f>
        <v>0</v>
      </c>
      <c r="I41" s="34" t="n">
        <f aca="false">IF(OR($E41&lt;I$31,$D41&gt;I$32),0,$C41*NETWORKDAYS(MAX($D41,I$31),MIN($E41,I$32),Feriados)/NETWORKDAYS($D41,$E41,Feriados))</f>
        <v>0</v>
      </c>
      <c r="J41" s="34" t="n">
        <f aca="false">IF(OR($E41&lt;J$31,$D41&gt;J$32),0,$C41*NETWORKDAYS(MAX($D41,J$31),MIN($E41,J$32),Feriados)/NETWORKDAYS($D41,$E41,Feriados))</f>
        <v>0</v>
      </c>
      <c r="K41" s="34" t="n">
        <f aca="false">IF(OR($E41&lt;K$31,$D41&gt;K$32),0,$C41*NETWORKDAYS(MAX($D41,K$31),MIN($E41,K$32),Feriados)/NETWORKDAYS($D41,$E41,Feriados))</f>
        <v>0</v>
      </c>
      <c r="L41" s="34" t="n">
        <f aca="false">IF(OR($E41&lt;L$31,$D41&gt;L$32),0,$C41*NETWORKDAYS(MAX($D41,L$31),MIN($E41,L$32),Feriados)/NETWORKDAYS($D41,$E41,Feriados))</f>
        <v>0</v>
      </c>
    </row>
    <row r="42" customFormat="false" ht="15" hidden="false" customHeight="false" outlineLevel="0" collapsed="false">
      <c r="A42" s="4" t="s">
        <v>113</v>
      </c>
      <c r="B42" s="30" t="str">
        <f aca="false">INDEX(Tareas!$B$6:$B$37,MATCH(A42,Tareas!$A$6:$A$37,0))</f>
        <v>Módulo de reserva de salas</v>
      </c>
      <c r="C42" s="9" t="n">
        <f aca="false">SUMIF(Costos!$A$5:$A$88,A42,Costos!$I$5:$I$88)</f>
        <v>8940</v>
      </c>
      <c r="D42" s="8" t="n">
        <f aca="false">INDEX(Tareas!$M$6:$M$37,MATCH(A42,Tareas!$A$6:$A$37,0))</f>
        <v>46323</v>
      </c>
      <c r="E42" s="8" t="n">
        <f aca="false">INDEX(Tareas!$N$6:$N$37,MATCH(A42,Tareas!$A$6:$A$37,0))</f>
        <v>46343</v>
      </c>
      <c r="F42" s="34" t="n">
        <f aca="false">IF(OR($E42&lt;F$31,$D42&gt;F$32),0,$C42*NETWORKDAYS(MAX($D42,F$31),MIN($E42,F$32),Feriados)/NETWORKDAYS($D42,$E42,Feriados))</f>
        <v>1788</v>
      </c>
      <c r="G42" s="34" t="n">
        <f aca="false">IF(OR($E42&lt;G$31,$D42&gt;G$32),0,$C42*NETWORKDAYS(MAX($D42,G$31),MIN($E42,G$32),Feriados)/NETWORKDAYS($D42,$E42,Feriados))</f>
        <v>7152</v>
      </c>
      <c r="H42" s="34" t="n">
        <f aca="false">IF(OR($E42&lt;H$31,$D42&gt;H$32),0,$C42*NETWORKDAYS(MAX($D42,H$31),MIN($E42,H$32),Feriados)/NETWORKDAYS($D42,$E42,Feriados))</f>
        <v>0</v>
      </c>
      <c r="I42" s="34" t="n">
        <f aca="false">IF(OR($E42&lt;I$31,$D42&gt;I$32),0,$C42*NETWORKDAYS(MAX($D42,I$31),MIN($E42,I$32),Feriados)/NETWORKDAYS($D42,$E42,Feriados))</f>
        <v>0</v>
      </c>
      <c r="J42" s="34" t="n">
        <f aca="false">IF(OR($E42&lt;J$31,$D42&gt;J$32),0,$C42*NETWORKDAYS(MAX($D42,J$31),MIN($E42,J$32),Feriados)/NETWORKDAYS($D42,$E42,Feriados))</f>
        <v>0</v>
      </c>
      <c r="K42" s="34" t="n">
        <f aca="false">IF(OR($E42&lt;K$31,$D42&gt;K$32),0,$C42*NETWORKDAYS(MAX($D42,K$31),MIN($E42,K$32),Feriados)/NETWORKDAYS($D42,$E42,Feriados))</f>
        <v>0</v>
      </c>
      <c r="L42" s="34" t="n">
        <f aca="false">IF(OR($E42&lt;L$31,$D42&gt;L$32),0,$C42*NETWORKDAYS(MAX($D42,L$31),MIN($E42,L$32),Feriados)/NETWORKDAYS($D42,$E42,Feriados))</f>
        <v>0</v>
      </c>
    </row>
    <row r="43" customFormat="false" ht="15" hidden="false" customHeight="false" outlineLevel="0" collapsed="false">
      <c r="A43" s="4" t="s">
        <v>115</v>
      </c>
      <c r="B43" s="30" t="str">
        <f aca="false">INDEX(Tareas!$B$6:$B$37,MATCH(A43,Tareas!$A$6:$A$37,0))</f>
        <v>Check-in, check-out y liberación</v>
      </c>
      <c r="C43" s="9" t="n">
        <f aca="false">SUMIF(Costos!$A$5:$A$88,A43,Costos!$I$5:$I$88)</f>
        <v>6144</v>
      </c>
      <c r="D43" s="8" t="n">
        <f aca="false">INDEX(Tareas!$M$6:$M$37,MATCH(A43,Tareas!$A$6:$A$37,0))</f>
        <v>46342</v>
      </c>
      <c r="E43" s="8" t="n">
        <f aca="false">INDEX(Tareas!$N$6:$N$37,MATCH(A43,Tareas!$A$6:$A$37,0))</f>
        <v>46358</v>
      </c>
      <c r="F43" s="34" t="n">
        <f aca="false">IF(OR($E43&lt;F$31,$D43&gt;F$32),0,$C43*NETWORKDAYS(MAX($D43,F$31),MIN($E43,F$32),Feriados)/NETWORKDAYS($D43,$E43,Feriados))</f>
        <v>0</v>
      </c>
      <c r="G43" s="34" t="n">
        <f aca="false">IF(OR($E43&lt;G$31,$D43&gt;G$32),0,$C43*NETWORKDAYS(MAX($D43,G$31),MIN($E43,G$32),Feriados)/NETWORKDAYS($D43,$E43,Feriados))</f>
        <v>5120</v>
      </c>
      <c r="H43" s="34" t="n">
        <f aca="false">IF(OR($E43&lt;H$31,$D43&gt;H$32),0,$C43*NETWORKDAYS(MAX($D43,H$31),MIN($E43,H$32),Feriados)/NETWORKDAYS($D43,$E43,Feriados))</f>
        <v>1024</v>
      </c>
      <c r="I43" s="34" t="n">
        <f aca="false">IF(OR($E43&lt;I$31,$D43&gt;I$32),0,$C43*NETWORKDAYS(MAX($D43,I$31),MIN($E43,I$32),Feriados)/NETWORKDAYS($D43,$E43,Feriados))</f>
        <v>0</v>
      </c>
      <c r="J43" s="34" t="n">
        <f aca="false">IF(OR($E43&lt;J$31,$D43&gt;J$32),0,$C43*NETWORKDAYS(MAX($D43,J$31),MIN($E43,J$32),Feriados)/NETWORKDAYS($D43,$E43,Feriados))</f>
        <v>0</v>
      </c>
      <c r="K43" s="34" t="n">
        <f aca="false">IF(OR($E43&lt;K$31,$D43&gt;K$32),0,$C43*NETWORKDAYS(MAX($D43,K$31),MIN($E43,K$32),Feriados)/NETWORKDAYS($D43,$E43,Feriados))</f>
        <v>0</v>
      </c>
      <c r="L43" s="34" t="n">
        <f aca="false">IF(OR($E43&lt;L$31,$D43&gt;L$32),0,$C43*NETWORKDAYS(MAX($D43,L$31),MIN($E43,L$32),Feriados)/NETWORKDAYS($D43,$E43,Feriados))</f>
        <v>0</v>
      </c>
    </row>
    <row r="44" customFormat="false" ht="15" hidden="false" customHeight="false" outlineLevel="0" collapsed="false">
      <c r="A44" s="4" t="s">
        <v>117</v>
      </c>
      <c r="B44" s="30" t="str">
        <f aca="false">INDEX(Tareas!$B$6:$B$37,MATCH(A44,Tareas!$A$6:$A$37,0))</f>
        <v>Notificaciones y sugerencias</v>
      </c>
      <c r="C44" s="9" t="n">
        <f aca="false">SUMIF(Costos!$A$5:$A$88,A44,Costos!$I$5:$I$88)</f>
        <v>9120</v>
      </c>
      <c r="D44" s="8" t="n">
        <f aca="false">INDEX(Tareas!$M$6:$M$37,MATCH(A44,Tareas!$A$6:$A$37,0))</f>
        <v>46359</v>
      </c>
      <c r="E44" s="8" t="n">
        <f aca="false">INDEX(Tareas!$N$6:$N$37,MATCH(A44,Tareas!$A$6:$A$37,0))</f>
        <v>46384</v>
      </c>
      <c r="F44" s="34" t="n">
        <f aca="false">IF(OR($E44&lt;F$31,$D44&gt;F$32),0,$C44*NETWORKDAYS(MAX($D44,F$31),MIN($E44,F$32),Feriados)/NETWORKDAYS($D44,$E44,Feriados))</f>
        <v>0</v>
      </c>
      <c r="G44" s="34" t="n">
        <f aca="false">IF(OR($E44&lt;G$31,$D44&gt;G$32),0,$C44*NETWORKDAYS(MAX($D44,G$31),MIN($E44,G$32),Feriados)/NETWORKDAYS($D44,$E44,Feriados))</f>
        <v>0</v>
      </c>
      <c r="H44" s="34" t="n">
        <f aca="false">IF(OR($E44&lt;H$31,$D44&gt;H$32),0,$C44*NETWORKDAYS(MAX($D44,H$31),MIN($E44,H$32),Feriados)/NETWORKDAYS($D44,$E44,Feriados))</f>
        <v>9120</v>
      </c>
      <c r="I44" s="34" t="n">
        <f aca="false">IF(OR($E44&lt;I$31,$D44&gt;I$32),0,$C44*NETWORKDAYS(MAX($D44,I$31),MIN($E44,I$32),Feriados)/NETWORKDAYS($D44,$E44,Feriados))</f>
        <v>0</v>
      </c>
      <c r="J44" s="34" t="n">
        <f aca="false">IF(OR($E44&lt;J$31,$D44&gt;J$32),0,$C44*NETWORKDAYS(MAX($D44,J$31),MIN($E44,J$32),Feriados)/NETWORKDAYS($D44,$E44,Feriados))</f>
        <v>0</v>
      </c>
      <c r="K44" s="34" t="n">
        <f aca="false">IF(OR($E44&lt;K$31,$D44&gt;K$32),0,$C44*NETWORKDAYS(MAX($D44,K$31),MIN($E44,K$32),Feriados)/NETWORKDAYS($D44,$E44,Feriados))</f>
        <v>0</v>
      </c>
      <c r="L44" s="34" t="n">
        <f aca="false">IF(OR($E44&lt;L$31,$D44&gt;L$32),0,$C44*NETWORKDAYS(MAX($D44,L$31),MIN($E44,L$32),Feriados)/NETWORKDAYS($D44,$E44,Feriados))</f>
        <v>0</v>
      </c>
    </row>
    <row r="45" customFormat="false" ht="15" hidden="false" customHeight="false" outlineLevel="0" collapsed="false">
      <c r="A45" s="4" t="s">
        <v>120</v>
      </c>
      <c r="B45" s="30" t="str">
        <f aca="false">INDEX(Tareas!$B$6:$B$37,MATCH(A45,Tareas!$A$6:$A$37,0))</f>
        <v>Diseño UX</v>
      </c>
      <c r="C45" s="9" t="n">
        <f aca="false">SUMIF(Costos!$A$5:$A$88,A45,Costos!$I$5:$I$88)</f>
        <v>5220</v>
      </c>
      <c r="D45" s="8" t="n">
        <f aca="false">INDEX(Tareas!$M$6:$M$37,MATCH(A45,Tareas!$A$6:$A$37,0))</f>
        <v>46323</v>
      </c>
      <c r="E45" s="8" t="n">
        <f aca="false">INDEX(Tareas!$N$6:$N$37,MATCH(A45,Tareas!$A$6:$A$37,0))</f>
        <v>46343</v>
      </c>
      <c r="F45" s="34" t="n">
        <f aca="false">IF(OR($E45&lt;F$31,$D45&gt;F$32),0,$C45*NETWORKDAYS(MAX($D45,F$31),MIN($E45,F$32),Feriados)/NETWORKDAYS($D45,$E45,Feriados))</f>
        <v>1044</v>
      </c>
      <c r="G45" s="34" t="n">
        <f aca="false">IF(OR($E45&lt;G$31,$D45&gt;G$32),0,$C45*NETWORKDAYS(MAX($D45,G$31),MIN($E45,G$32),Feriados)/NETWORKDAYS($D45,$E45,Feriados))</f>
        <v>4176</v>
      </c>
      <c r="H45" s="34" t="n">
        <f aca="false">IF(OR($E45&lt;H$31,$D45&gt;H$32),0,$C45*NETWORKDAYS(MAX($D45,H$31),MIN($E45,H$32),Feriados)/NETWORKDAYS($D45,$E45,Feriados))</f>
        <v>0</v>
      </c>
      <c r="I45" s="34" t="n">
        <f aca="false">IF(OR($E45&lt;I$31,$D45&gt;I$32),0,$C45*NETWORKDAYS(MAX($D45,I$31),MIN($E45,I$32),Feriados)/NETWORKDAYS($D45,$E45,Feriados))</f>
        <v>0</v>
      </c>
      <c r="J45" s="34" t="n">
        <f aca="false">IF(OR($E45&lt;J$31,$D45&gt;J$32),0,$C45*NETWORKDAYS(MAX($D45,J$31),MIN($E45,J$32),Feriados)/NETWORKDAYS($D45,$E45,Feriados))</f>
        <v>0</v>
      </c>
      <c r="K45" s="34" t="n">
        <f aca="false">IF(OR($E45&lt;K$31,$D45&gt;K$32),0,$C45*NETWORKDAYS(MAX($D45,K$31),MIN($E45,K$32),Feriados)/NETWORKDAYS($D45,$E45,Feriados))</f>
        <v>0</v>
      </c>
      <c r="L45" s="34" t="n">
        <f aca="false">IF(OR($E45&lt;L$31,$D45&gt;L$32),0,$C45*NETWORKDAYS(MAX($D45,L$31),MIN($E45,L$32),Feriados)/NETWORKDAYS($D45,$E45,Feriados))</f>
        <v>0</v>
      </c>
    </row>
    <row r="46" customFormat="false" ht="15" hidden="false" customHeight="false" outlineLevel="0" collapsed="false">
      <c r="A46" s="4" t="s">
        <v>123</v>
      </c>
      <c r="B46" s="30" t="str">
        <f aca="false">INDEX(Tareas!$B$6:$B$37,MATCH(A46,Tareas!$A$6:$A$37,0))</f>
        <v>Implementación bot de Teams</v>
      </c>
      <c r="C46" s="9" t="n">
        <f aca="false">SUMIF(Costos!$A$5:$A$88,A46,Costos!$I$5:$I$88)</f>
        <v>2920</v>
      </c>
      <c r="D46" s="8" t="n">
        <f aca="false">INDEX(Tareas!$M$6:$M$37,MATCH(A46,Tareas!$A$6:$A$37,0))</f>
        <v>46344</v>
      </c>
      <c r="E46" s="8" t="n">
        <f aca="false">INDEX(Tareas!$N$6:$N$37,MATCH(A46,Tareas!$A$6:$A$37,0))</f>
        <v>46358</v>
      </c>
      <c r="F46" s="34" t="n">
        <f aca="false">IF(OR($E46&lt;F$31,$D46&gt;F$32),0,$C46*NETWORKDAYS(MAX($D46,F$31),MIN($E46,F$32),Feriados)/NETWORKDAYS($D46,$E46,Feriados))</f>
        <v>0</v>
      </c>
      <c r="G46" s="34" t="n">
        <f aca="false">IF(OR($E46&lt;G$31,$D46&gt;G$32),0,$C46*NETWORKDAYS(MAX($D46,G$31),MIN($E46,G$32),Feriados)/NETWORKDAYS($D46,$E46,Feriados))</f>
        <v>2336</v>
      </c>
      <c r="H46" s="34" t="n">
        <f aca="false">IF(OR($E46&lt;H$31,$D46&gt;H$32),0,$C46*NETWORKDAYS(MAX($D46,H$31),MIN($E46,H$32),Feriados)/NETWORKDAYS($D46,$E46,Feriados))</f>
        <v>584</v>
      </c>
      <c r="I46" s="34" t="n">
        <f aca="false">IF(OR($E46&lt;I$31,$D46&gt;I$32),0,$C46*NETWORKDAYS(MAX($D46,I$31),MIN($E46,I$32),Feriados)/NETWORKDAYS($D46,$E46,Feriados))</f>
        <v>0</v>
      </c>
      <c r="J46" s="34" t="n">
        <f aca="false">IF(OR($E46&lt;J$31,$D46&gt;J$32),0,$C46*NETWORKDAYS(MAX($D46,J$31),MIN($E46,J$32),Feriados)/NETWORKDAYS($D46,$E46,Feriados))</f>
        <v>0</v>
      </c>
      <c r="K46" s="34" t="n">
        <f aca="false">IF(OR($E46&lt;K$31,$D46&gt;K$32),0,$C46*NETWORKDAYS(MAX($D46,K$31),MIN($E46,K$32),Feriados)/NETWORKDAYS($D46,$E46,Feriados))</f>
        <v>0</v>
      </c>
      <c r="L46" s="34" t="n">
        <f aca="false">IF(OR($E46&lt;L$31,$D46&gt;L$32),0,$C46*NETWORKDAYS(MAX($D46,L$31),MIN($E46,L$32),Feriados)/NETWORKDAYS($D46,$E46,Feriados))</f>
        <v>0</v>
      </c>
    </row>
    <row r="47" customFormat="false" ht="15" hidden="false" customHeight="false" outlineLevel="0" collapsed="false">
      <c r="A47" s="4" t="s">
        <v>126</v>
      </c>
      <c r="B47" s="30" t="str">
        <f aca="false">INDEX(Tareas!$B$6:$B$37,MATCH(A47,Tareas!$A$6:$A$37,0))</f>
        <v>Configuración web</v>
      </c>
      <c r="C47" s="9" t="n">
        <f aca="false">SUMIF(Costos!$A$5:$A$88,A47,Costos!$I$5:$I$88)</f>
        <v>7656</v>
      </c>
      <c r="D47" s="8" t="n">
        <f aca="false">INDEX(Tareas!$M$6:$M$37,MATCH(A47,Tareas!$A$6:$A$37,0))</f>
        <v>46385</v>
      </c>
      <c r="E47" s="8" t="n">
        <f aca="false">INDEX(Tareas!$N$6:$N$37,MATCH(A47,Tareas!$A$6:$A$37,0))</f>
        <v>46401</v>
      </c>
      <c r="F47" s="34" t="n">
        <f aca="false">IF(OR($E47&lt;F$31,$D47&gt;F$32),0,$C47*NETWORKDAYS(MAX($D47,F$31),MIN($E47,F$32),Feriados)/NETWORKDAYS($D47,$E47,Feriados))</f>
        <v>0</v>
      </c>
      <c r="G47" s="34" t="n">
        <f aca="false">IF(OR($E47&lt;G$31,$D47&gt;G$32),0,$C47*NETWORKDAYS(MAX($D47,G$31),MIN($E47,G$32),Feriados)/NETWORKDAYS($D47,$E47,Feriados))</f>
        <v>0</v>
      </c>
      <c r="H47" s="34" t="n">
        <f aca="false">IF(OR($E47&lt;H$31,$D47&gt;H$32),0,$C47*NETWORKDAYS(MAX($D47,H$31),MIN($E47,H$32),Feriados)/NETWORKDAYS($D47,$E47,Feriados))</f>
        <v>1914</v>
      </c>
      <c r="I47" s="34" t="n">
        <f aca="false">IF(OR($E47&lt;I$31,$D47&gt;I$32),0,$C47*NETWORKDAYS(MAX($D47,I$31),MIN($E47,I$32),Feriados)/NETWORKDAYS($D47,$E47,Feriados))</f>
        <v>5742</v>
      </c>
      <c r="J47" s="34" t="n">
        <f aca="false">IF(OR($E47&lt;J$31,$D47&gt;J$32),0,$C47*NETWORKDAYS(MAX($D47,J$31),MIN($E47,J$32),Feriados)/NETWORKDAYS($D47,$E47,Feriados))</f>
        <v>0</v>
      </c>
      <c r="K47" s="34" t="n">
        <f aca="false">IF(OR($E47&lt;K$31,$D47&gt;K$32),0,$C47*NETWORKDAYS(MAX($D47,K$31),MIN($E47,K$32),Feriados)/NETWORKDAYS($D47,$E47,Feriados))</f>
        <v>0</v>
      </c>
      <c r="L47" s="34" t="n">
        <f aca="false">IF(OR($E47&lt;L$31,$D47&gt;L$32),0,$C47*NETWORKDAYS(MAX($D47,L$31),MIN($E47,L$32),Feriados)/NETWORKDAYS($D47,$E47,Feriados))</f>
        <v>0</v>
      </c>
    </row>
    <row r="48" customFormat="false" ht="15" hidden="false" customHeight="false" outlineLevel="0" collapsed="false">
      <c r="A48" s="4" t="s">
        <v>129</v>
      </c>
      <c r="B48" s="30" t="str">
        <f aca="false">INDEX(Tareas!$B$6:$B$37,MATCH(A48,Tareas!$A$6:$A$37,0))</f>
        <v>SSO y SCIM con Entra ID</v>
      </c>
      <c r="C48" s="9" t="n">
        <f aca="false">SUMIF(Costos!$A$5:$A$88,A48,Costos!$I$5:$I$88)</f>
        <v>12660</v>
      </c>
      <c r="D48" s="8" t="n">
        <f aca="false">INDEX(Tareas!$M$6:$M$37,MATCH(A48,Tareas!$A$6:$A$37,0))</f>
        <v>46309</v>
      </c>
      <c r="E48" s="8" t="n">
        <f aca="false">INDEX(Tareas!$N$6:$N$37,MATCH(A48,Tareas!$A$6:$A$37,0))</f>
        <v>46324</v>
      </c>
      <c r="F48" s="34" t="n">
        <f aca="false">IF(OR($E48&lt;F$31,$D48&gt;F$32),0,$C48*NETWORKDAYS(MAX($D48,F$31),MIN($E48,F$32),Feriados)/NETWORKDAYS($D48,$E48,Feriados))</f>
        <v>12660</v>
      </c>
      <c r="G48" s="34" t="n">
        <f aca="false">IF(OR($E48&lt;G$31,$D48&gt;G$32),0,$C48*NETWORKDAYS(MAX($D48,G$31),MIN($E48,G$32),Feriados)/NETWORKDAYS($D48,$E48,Feriados))</f>
        <v>0</v>
      </c>
      <c r="H48" s="34" t="n">
        <f aca="false">IF(OR($E48&lt;H$31,$D48&gt;H$32),0,$C48*NETWORKDAYS(MAX($D48,H$31),MIN($E48,H$32),Feriados)/NETWORKDAYS($D48,$E48,Feriados))</f>
        <v>0</v>
      </c>
      <c r="I48" s="34" t="n">
        <f aca="false">IF(OR($E48&lt;I$31,$D48&gt;I$32),0,$C48*NETWORKDAYS(MAX($D48,I$31),MIN($E48,I$32),Feriados)/NETWORKDAYS($D48,$E48,Feriados))</f>
        <v>0</v>
      </c>
      <c r="J48" s="34" t="n">
        <f aca="false">IF(OR($E48&lt;J$31,$D48&gt;J$32),0,$C48*NETWORKDAYS(MAX($D48,J$31),MIN($E48,J$32),Feriados)/NETWORKDAYS($D48,$E48,Feriados))</f>
        <v>0</v>
      </c>
      <c r="K48" s="34" t="n">
        <f aca="false">IF(OR($E48&lt;K$31,$D48&gt;K$32),0,$C48*NETWORKDAYS(MAX($D48,K$31),MIN($E48,K$32),Feriados)/NETWORKDAYS($D48,$E48,Feriados))</f>
        <v>0</v>
      </c>
      <c r="L48" s="34" t="n">
        <f aca="false">IF(OR($E48&lt;L$31,$D48&gt;L$32),0,$C48*NETWORKDAYS(MAX($D48,L$31),MIN($E48,L$32),Feriados)/NETWORKDAYS($D48,$E48,Feriados))</f>
        <v>0</v>
      </c>
    </row>
    <row r="49" customFormat="false" ht="15" hidden="false" customHeight="false" outlineLevel="0" collapsed="false">
      <c r="A49" s="4" t="s">
        <v>132</v>
      </c>
      <c r="B49" s="30" t="str">
        <f aca="false">INDEX(Tareas!$B$6:$B$37,MATCH(A49,Tareas!$A$6:$A$37,0))</f>
        <v>Sincronización con HRIS</v>
      </c>
      <c r="C49" s="9" t="n">
        <f aca="false">SUMIF(Costos!$A$5:$A$88,A49,Costos!$I$5:$I$88)</f>
        <v>5370</v>
      </c>
      <c r="D49" s="8" t="n">
        <f aca="false">INDEX(Tareas!$M$6:$M$37,MATCH(A49,Tareas!$A$6:$A$37,0))</f>
        <v>46325</v>
      </c>
      <c r="E49" s="8" t="n">
        <f aca="false">INDEX(Tareas!$N$6:$N$37,MATCH(A49,Tareas!$A$6:$A$37,0))</f>
        <v>46338</v>
      </c>
      <c r="F49" s="34" t="n">
        <f aca="false">IF(OR($E49&lt;F$31,$D49&gt;F$32),0,$C49*NETWORKDAYS(MAX($D49,F$31),MIN($E49,F$32),Feriados)/NETWORKDAYS($D49,$E49,Feriados))</f>
        <v>537</v>
      </c>
      <c r="G49" s="34" t="n">
        <f aca="false">IF(OR($E49&lt;G$31,$D49&gt;G$32),0,$C49*NETWORKDAYS(MAX($D49,G$31),MIN($E49,G$32),Feriados)/NETWORKDAYS($D49,$E49,Feriados))</f>
        <v>4833</v>
      </c>
      <c r="H49" s="34" t="n">
        <f aca="false">IF(OR($E49&lt;H$31,$D49&gt;H$32),0,$C49*NETWORKDAYS(MAX($D49,H$31),MIN($E49,H$32),Feriados)/NETWORKDAYS($D49,$E49,Feriados))</f>
        <v>0</v>
      </c>
      <c r="I49" s="34" t="n">
        <f aca="false">IF(OR($E49&lt;I$31,$D49&gt;I$32),0,$C49*NETWORKDAYS(MAX($D49,I$31),MIN($E49,I$32),Feriados)/NETWORKDAYS($D49,$E49,Feriados))</f>
        <v>0</v>
      </c>
      <c r="J49" s="34" t="n">
        <f aca="false">IF(OR($E49&lt;J$31,$D49&gt;J$32),0,$C49*NETWORKDAYS(MAX($D49,J$31),MIN($E49,J$32),Feriados)/NETWORKDAYS($D49,$E49,Feriados))</f>
        <v>0</v>
      </c>
      <c r="K49" s="34" t="n">
        <f aca="false">IF(OR($E49&lt;K$31,$D49&gt;K$32),0,$C49*NETWORKDAYS(MAX($D49,K$31),MIN($E49,K$32),Feriados)/NETWORKDAYS($D49,$E49,Feriados))</f>
        <v>0</v>
      </c>
      <c r="L49" s="34" t="n">
        <f aca="false">IF(OR($E49&lt;L$31,$D49&gt;L$32),0,$C49*NETWORKDAYS(MAX($D49,L$31),MIN($E49,L$32),Feriados)/NETWORKDAYS($D49,$E49,Feriados))</f>
        <v>0</v>
      </c>
    </row>
    <row r="50" customFormat="false" ht="15" hidden="false" customHeight="false" outlineLevel="0" collapsed="false">
      <c r="A50" s="4" t="s">
        <v>134</v>
      </c>
      <c r="B50" s="30" t="str">
        <f aca="false">INDEX(Tareas!$B$6:$B$37,MATCH(A50,Tareas!$A$6:$A$37,0))</f>
        <v>Exchange, Outlook y Teams</v>
      </c>
      <c r="C50" s="9" t="n">
        <f aca="false">SUMIF(Costos!$A$5:$A$88,A50,Costos!$I$5:$I$88)</f>
        <v>5180</v>
      </c>
      <c r="D50" s="8" t="n">
        <f aca="false">INDEX(Tareas!$M$6:$M$37,MATCH(A50,Tareas!$A$6:$A$37,0))</f>
        <v>46325</v>
      </c>
      <c r="E50" s="8" t="n">
        <f aca="false">INDEX(Tareas!$N$6:$N$37,MATCH(A50,Tareas!$A$6:$A$37,0))</f>
        <v>46338</v>
      </c>
      <c r="F50" s="34" t="n">
        <f aca="false">IF(OR($E50&lt;F$31,$D50&gt;F$32),0,$C50*NETWORKDAYS(MAX($D50,F$31),MIN($E50,F$32),Feriados)/NETWORKDAYS($D50,$E50,Feriados))</f>
        <v>518</v>
      </c>
      <c r="G50" s="34" t="n">
        <f aca="false">IF(OR($E50&lt;G$31,$D50&gt;G$32),0,$C50*NETWORKDAYS(MAX($D50,G$31),MIN($E50,G$32),Feriados)/NETWORKDAYS($D50,$E50,Feriados))</f>
        <v>4662</v>
      </c>
      <c r="H50" s="34" t="n">
        <f aca="false">IF(OR($E50&lt;H$31,$D50&gt;H$32),0,$C50*NETWORKDAYS(MAX($D50,H$31),MIN($E50,H$32),Feriados)/NETWORKDAYS($D50,$E50,Feriados))</f>
        <v>0</v>
      </c>
      <c r="I50" s="34" t="n">
        <f aca="false">IF(OR($E50&lt;I$31,$D50&gt;I$32),0,$C50*NETWORKDAYS(MAX($D50,I$31),MIN($E50,I$32),Feriados)/NETWORKDAYS($D50,$E50,Feriados))</f>
        <v>0</v>
      </c>
      <c r="J50" s="34" t="n">
        <f aca="false">IF(OR($E50&lt;J$31,$D50&gt;J$32),0,$C50*NETWORKDAYS(MAX($D50,J$31),MIN($E50,J$32),Feriados)/NETWORKDAYS($D50,$E50,Feriados))</f>
        <v>0</v>
      </c>
      <c r="K50" s="34" t="n">
        <f aca="false">IF(OR($E50&lt;K$31,$D50&gt;K$32),0,$C50*NETWORKDAYS(MAX($D50,K$31),MIN($E50,K$32),Feriados)/NETWORKDAYS($D50,$E50,Feriados))</f>
        <v>0</v>
      </c>
      <c r="L50" s="34" t="n">
        <f aca="false">IF(OR($E50&lt;L$31,$D50&gt;L$32),0,$C50*NETWORKDAYS(MAX($D50,L$31),MIN($E50,L$32),Feriados)/NETWORKDAYS($D50,$E50,Feriados))</f>
        <v>0</v>
      </c>
    </row>
    <row r="51" customFormat="false" ht="15" hidden="false" customHeight="false" outlineLevel="0" collapsed="false">
      <c r="A51" s="4" t="s">
        <v>136</v>
      </c>
      <c r="B51" s="30" t="str">
        <f aca="false">INDEX(Tareas!$B$6:$B$37,MATCH(A51,Tareas!$A$6:$A$37,0))</f>
        <v>Seguridad y endurecimiento</v>
      </c>
      <c r="C51" s="9" t="n">
        <f aca="false">SUMIF(Costos!$A$5:$A$88,A51,Costos!$I$5:$I$88)</f>
        <v>8820</v>
      </c>
      <c r="D51" s="8" t="n">
        <f aca="false">INDEX(Tareas!$M$6:$M$37,MATCH(A51,Tareas!$A$6:$A$37,0))</f>
        <v>46339</v>
      </c>
      <c r="E51" s="8" t="n">
        <f aca="false">INDEX(Tareas!$N$6:$N$37,MATCH(A51,Tareas!$A$6:$A$37,0))</f>
        <v>46360</v>
      </c>
      <c r="F51" s="34" t="n">
        <f aca="false">IF(OR($E51&lt;F$31,$D51&gt;F$32),0,$C51*NETWORKDAYS(MAX($D51,F$31),MIN($E51,F$32),Feriados)/NETWORKDAYS($D51,$E51,Feriados))</f>
        <v>0</v>
      </c>
      <c r="G51" s="34" t="n">
        <f aca="false">IF(OR($E51&lt;G$31,$D51&gt;G$32),0,$C51*NETWORKDAYS(MAX($D51,G$31),MIN($E51,G$32),Feriados)/NETWORKDAYS($D51,$E51,Feriados))</f>
        <v>6468</v>
      </c>
      <c r="H51" s="34" t="n">
        <f aca="false">IF(OR($E51&lt;H$31,$D51&gt;H$32),0,$C51*NETWORKDAYS(MAX($D51,H$31),MIN($E51,H$32),Feriados)/NETWORKDAYS($D51,$E51,Feriados))</f>
        <v>2352</v>
      </c>
      <c r="I51" s="34" t="n">
        <f aca="false">IF(OR($E51&lt;I$31,$D51&gt;I$32),0,$C51*NETWORKDAYS(MAX($D51,I$31),MIN($E51,I$32),Feriados)/NETWORKDAYS($D51,$E51,Feriados))</f>
        <v>0</v>
      </c>
      <c r="J51" s="34" t="n">
        <f aca="false">IF(OR($E51&lt;J$31,$D51&gt;J$32),0,$C51*NETWORKDAYS(MAX($D51,J$31),MIN($E51,J$32),Feriados)/NETWORKDAYS($D51,$E51,Feriados))</f>
        <v>0</v>
      </c>
      <c r="K51" s="34" t="n">
        <f aca="false">IF(OR($E51&lt;K$31,$D51&gt;K$32),0,$C51*NETWORKDAYS(MAX($D51,K$31),MIN($E51,K$32),Feriados)/NETWORKDAYS($D51,$E51,Feriados))</f>
        <v>0</v>
      </c>
      <c r="L51" s="34" t="n">
        <f aca="false">IF(OR($E51&lt;L$31,$D51&gt;L$32),0,$C51*NETWORKDAYS(MAX($D51,L$31),MIN($E51,L$32),Feriados)/NETWORKDAYS($D51,$E51,Feriados))</f>
        <v>0</v>
      </c>
    </row>
    <row r="52" customFormat="false" ht="15" hidden="false" customHeight="false" outlineLevel="0" collapsed="false">
      <c r="A52" s="4" t="s">
        <v>140</v>
      </c>
      <c r="B52" s="30" t="str">
        <f aca="false">INDEX(Tareas!$B$6:$B$37,MATCH(A52,Tareas!$A$6:$A$37,0))</f>
        <v>Pruebas de integración y carga</v>
      </c>
      <c r="C52" s="9" t="n">
        <f aca="false">SUMIF(Costos!$A$5:$A$88,A52,Costos!$I$5:$I$88)</f>
        <v>8352</v>
      </c>
      <c r="D52" s="8" t="n">
        <f aca="false">INDEX(Tareas!$M$6:$M$37,MATCH(A52,Tareas!$A$6:$A$37,0))</f>
        <v>46377</v>
      </c>
      <c r="E52" s="8" t="n">
        <f aca="false">INDEX(Tareas!$N$6:$N$37,MATCH(A52,Tareas!$A$6:$A$37,0))</f>
        <v>46394</v>
      </c>
      <c r="F52" s="34" t="n">
        <f aca="false">IF(OR($E52&lt;F$31,$D52&gt;F$32),0,$C52*NETWORKDAYS(MAX($D52,F$31),MIN($E52,F$32),Feriados)/NETWORKDAYS($D52,$E52,Feriados))</f>
        <v>0</v>
      </c>
      <c r="G52" s="34" t="n">
        <f aca="false">IF(OR($E52&lt;G$31,$D52&gt;G$32),0,$C52*NETWORKDAYS(MAX($D52,G$31),MIN($E52,G$32),Feriados)/NETWORKDAYS($D52,$E52,Feriados))</f>
        <v>0</v>
      </c>
      <c r="H52" s="34" t="n">
        <f aca="false">IF(OR($E52&lt;H$31,$D52&gt;H$32),0,$C52*NETWORKDAYS(MAX($D52,H$31),MIN($E52,H$32),Feriados)/NETWORKDAYS($D52,$E52,Feriados))</f>
        <v>5568</v>
      </c>
      <c r="I52" s="34" t="n">
        <f aca="false">IF(OR($E52&lt;I$31,$D52&gt;I$32),0,$C52*NETWORKDAYS(MAX($D52,I$31),MIN($E52,I$32),Feriados)/NETWORKDAYS($D52,$E52,Feriados))</f>
        <v>2784</v>
      </c>
      <c r="J52" s="34" t="n">
        <f aca="false">IF(OR($E52&lt;J$31,$D52&gt;J$32),0,$C52*NETWORKDAYS(MAX($D52,J$31),MIN($E52,J$32),Feriados)/NETWORKDAYS($D52,$E52,Feriados))</f>
        <v>0</v>
      </c>
      <c r="K52" s="34" t="n">
        <f aca="false">IF(OR($E52&lt;K$31,$D52&gt;K$32),0,$C52*NETWORKDAYS(MAX($D52,K$31),MIN($E52,K$32),Feriados)/NETWORKDAYS($D52,$E52,Feriados))</f>
        <v>0</v>
      </c>
      <c r="L52" s="34" t="n">
        <f aca="false">IF(OR($E52&lt;L$31,$D52&gt;L$32),0,$C52*NETWORKDAYS(MAX($D52,L$31),MIN($E52,L$32),Feriados)/NETWORKDAYS($D52,$E52,Feriados))</f>
        <v>0</v>
      </c>
    </row>
    <row r="53" customFormat="false" ht="15" hidden="false" customHeight="false" outlineLevel="0" collapsed="false">
      <c r="A53" s="4" t="s">
        <v>143</v>
      </c>
      <c r="B53" s="30" t="str">
        <f aca="false">INDEX(Tareas!$B$6:$B$37,MATCH(A53,Tareas!$A$6:$A$37,0))</f>
        <v>Impacto e interesados con RR.HH.</v>
      </c>
      <c r="C53" s="9" t="n">
        <f aca="false">SUMIF(Costos!$A$5:$A$88,A53,Costos!$I$5:$I$88)</f>
        <v>4640</v>
      </c>
      <c r="D53" s="8" t="n">
        <f aca="false">INDEX(Tareas!$M$6:$M$37,MATCH(A53,Tareas!$A$6:$A$37,0))</f>
        <v>46308</v>
      </c>
      <c r="E53" s="8" t="n">
        <f aca="false">INDEX(Tareas!$N$6:$N$37,MATCH(A53,Tareas!$A$6:$A$37,0))</f>
        <v>46321</v>
      </c>
      <c r="F53" s="34" t="n">
        <f aca="false">IF(OR($E53&lt;F$31,$D53&gt;F$32),0,$C53*NETWORKDAYS(MAX($D53,F$31),MIN($E53,F$32),Feriados)/NETWORKDAYS($D53,$E53,Feriados))</f>
        <v>4640</v>
      </c>
      <c r="G53" s="34" t="n">
        <f aca="false">IF(OR($E53&lt;G$31,$D53&gt;G$32),0,$C53*NETWORKDAYS(MAX($D53,G$31),MIN($E53,G$32),Feriados)/NETWORKDAYS($D53,$E53,Feriados))</f>
        <v>0</v>
      </c>
      <c r="H53" s="34" t="n">
        <f aca="false">IF(OR($E53&lt;H$31,$D53&gt;H$32),0,$C53*NETWORKDAYS(MAX($D53,H$31),MIN($E53,H$32),Feriados)/NETWORKDAYS($D53,$E53,Feriados))</f>
        <v>0</v>
      </c>
      <c r="I53" s="34" t="n">
        <f aca="false">IF(OR($E53&lt;I$31,$D53&gt;I$32),0,$C53*NETWORKDAYS(MAX($D53,I$31),MIN($E53,I$32),Feriados)/NETWORKDAYS($D53,$E53,Feriados))</f>
        <v>0</v>
      </c>
      <c r="J53" s="34" t="n">
        <f aca="false">IF(OR($E53&lt;J$31,$D53&gt;J$32),0,$C53*NETWORKDAYS(MAX($D53,J$31),MIN($E53,J$32),Feriados)/NETWORKDAYS($D53,$E53,Feriados))</f>
        <v>0</v>
      </c>
      <c r="K53" s="34" t="n">
        <f aca="false">IF(OR($E53&lt;K$31,$D53&gt;K$32),0,$C53*NETWORKDAYS(MAX($D53,K$31),MIN($E53,K$32),Feriados)/NETWORKDAYS($D53,$E53,Feriados))</f>
        <v>0</v>
      </c>
      <c r="L53" s="34" t="n">
        <f aca="false">IF(OR($E53&lt;L$31,$D53&gt;L$32),0,$C53*NETWORKDAYS(MAX($D53,L$31),MIN($E53,L$32),Feriados)/NETWORKDAYS($D53,$E53,Feriados))</f>
        <v>0</v>
      </c>
    </row>
    <row r="54" customFormat="false" ht="15" hidden="false" customHeight="false" outlineLevel="0" collapsed="false">
      <c r="A54" s="4" t="s">
        <v>146</v>
      </c>
      <c r="B54" s="30" t="str">
        <f aca="false">INDEX(Tareas!$B$6:$B$37,MATCH(A54,Tareas!$A$6:$A$37,0))</f>
        <v>Política de trabajo flexible</v>
      </c>
      <c r="C54" s="9" t="n">
        <f aca="false">SUMIF(Costos!$A$5:$A$88,A54,Costos!$I$5:$I$88)</f>
        <v>4640</v>
      </c>
      <c r="D54" s="8" t="n">
        <f aca="false">INDEX(Tareas!$M$6:$M$37,MATCH(A54,Tareas!$A$6:$A$37,0))</f>
        <v>46322</v>
      </c>
      <c r="E54" s="8" t="n">
        <f aca="false">INDEX(Tareas!$N$6:$N$37,MATCH(A54,Tareas!$A$6:$A$37,0))</f>
        <v>46335</v>
      </c>
      <c r="F54" s="34" t="n">
        <f aca="false">IF(OR($E54&lt;F$31,$D54&gt;F$32),0,$C54*NETWORKDAYS(MAX($D54,F$31),MIN($E54,F$32),Feriados)/NETWORKDAYS($D54,$E54,Feriados))</f>
        <v>1856</v>
      </c>
      <c r="G54" s="34" t="n">
        <f aca="false">IF(OR($E54&lt;G$31,$D54&gt;G$32),0,$C54*NETWORKDAYS(MAX($D54,G$31),MIN($E54,G$32),Feriados)/NETWORKDAYS($D54,$E54,Feriados))</f>
        <v>2784</v>
      </c>
      <c r="H54" s="34" t="n">
        <f aca="false">IF(OR($E54&lt;H$31,$D54&gt;H$32),0,$C54*NETWORKDAYS(MAX($D54,H$31),MIN($E54,H$32),Feriados)/NETWORKDAYS($D54,$E54,Feriados))</f>
        <v>0</v>
      </c>
      <c r="I54" s="34" t="n">
        <f aca="false">IF(OR($E54&lt;I$31,$D54&gt;I$32),0,$C54*NETWORKDAYS(MAX($D54,I$31),MIN($E54,I$32),Feriados)/NETWORKDAYS($D54,$E54,Feriados))</f>
        <v>0</v>
      </c>
      <c r="J54" s="34" t="n">
        <f aca="false">IF(OR($E54&lt;J$31,$D54&gt;J$32),0,$C54*NETWORKDAYS(MAX($D54,J$31),MIN($E54,J$32),Feriados)/NETWORKDAYS($D54,$E54,Feriados))</f>
        <v>0</v>
      </c>
      <c r="K54" s="34" t="n">
        <f aca="false">IF(OR($E54&lt;K$31,$D54&gt;K$32),0,$C54*NETWORKDAYS(MAX($D54,K$31),MIN($E54,K$32),Feriados)/NETWORKDAYS($D54,$E54,Feriados))</f>
        <v>0</v>
      </c>
      <c r="L54" s="34" t="n">
        <f aca="false">IF(OR($E54&lt;L$31,$D54&gt;L$32),0,$C54*NETWORKDAYS(MAX($D54,L$31),MIN($E54,L$32),Feriados)/NETWORKDAYS($D54,$E54,Feriados))</f>
        <v>0</v>
      </c>
    </row>
    <row r="55" customFormat="false" ht="15" hidden="false" customHeight="false" outlineLevel="0" collapsed="false">
      <c r="A55" s="4" t="s">
        <v>148</v>
      </c>
      <c r="B55" s="30" t="str">
        <f aca="false">INDEX(Tareas!$B$6:$B$37,MATCH(A55,Tareas!$A$6:$A$37,0))</f>
        <v>Comunicación y lanzamiento</v>
      </c>
      <c r="C55" s="9" t="n">
        <f aca="false">SUMIF(Costos!$A$5:$A$88,A55,Costos!$I$5:$I$88)</f>
        <v>7200</v>
      </c>
      <c r="D55" s="8" t="n">
        <f aca="false">INDEX(Tareas!$M$6:$M$37,MATCH(A55,Tareas!$A$6:$A$37,0))</f>
        <v>46447</v>
      </c>
      <c r="E55" s="8" t="n">
        <f aca="false">INDEX(Tareas!$N$6:$N$37,MATCH(A55,Tareas!$A$6:$A$37,0))</f>
        <v>46465</v>
      </c>
      <c r="F55" s="34" t="n">
        <f aca="false">IF(OR($E55&lt;F$31,$D55&gt;F$32),0,$C55*NETWORKDAYS(MAX($D55,F$31),MIN($E55,F$32),Feriados)/NETWORKDAYS($D55,$E55,Feriados))</f>
        <v>0</v>
      </c>
      <c r="G55" s="34" t="n">
        <f aca="false">IF(OR($E55&lt;G$31,$D55&gt;G$32),0,$C55*NETWORKDAYS(MAX($D55,G$31),MIN($E55,G$32),Feriados)/NETWORKDAYS($D55,$E55,Feriados))</f>
        <v>0</v>
      </c>
      <c r="H55" s="34" t="n">
        <f aca="false">IF(OR($E55&lt;H$31,$D55&gt;H$32),0,$C55*NETWORKDAYS(MAX($D55,H$31),MIN($E55,H$32),Feriados)/NETWORKDAYS($D55,$E55,Feriados))</f>
        <v>0</v>
      </c>
      <c r="I55" s="34" t="n">
        <f aca="false">IF(OR($E55&lt;I$31,$D55&gt;I$32),0,$C55*NETWORKDAYS(MAX($D55,I$31),MIN($E55,I$32),Feriados)/NETWORKDAYS($D55,$E55,Feriados))</f>
        <v>0</v>
      </c>
      <c r="J55" s="34" t="n">
        <f aca="false">IF(OR($E55&lt;J$31,$D55&gt;J$32),0,$C55*NETWORKDAYS(MAX($D55,J$31),MIN($E55,J$32),Feriados)/NETWORKDAYS($D55,$E55,Feriados))</f>
        <v>0</v>
      </c>
      <c r="K55" s="34" t="n">
        <f aca="false">IF(OR($E55&lt;K$31,$D55&gt;K$32),0,$C55*NETWORKDAYS(MAX($D55,K$31),MIN($E55,K$32),Feriados)/NETWORKDAYS($D55,$E55,Feriados))</f>
        <v>7200</v>
      </c>
      <c r="L55" s="34" t="n">
        <f aca="false">IF(OR($E55&lt;L$31,$D55&gt;L$32),0,$C55*NETWORKDAYS(MAX($D55,L$31),MIN($E55,L$32),Feriados)/NETWORKDAYS($D55,$E55,Feriados))</f>
        <v>0</v>
      </c>
    </row>
    <row r="56" customFormat="false" ht="15" hidden="false" customHeight="false" outlineLevel="0" collapsed="false">
      <c r="A56" s="4" t="s">
        <v>150</v>
      </c>
      <c r="B56" s="30" t="str">
        <f aca="false">INDEX(Tareas!$B$6:$B$37,MATCH(A56,Tareas!$A$6:$A$37,0))</f>
        <v>Referentes y capacitación</v>
      </c>
      <c r="C56" s="9" t="n">
        <f aca="false">SUMIF(Costos!$A$5:$A$88,A56,Costos!$I$5:$I$88)</f>
        <v>6960</v>
      </c>
      <c r="D56" s="8" t="n">
        <f aca="false">INDEX(Tareas!$M$6:$M$37,MATCH(A56,Tareas!$A$6:$A$37,0))</f>
        <v>46336</v>
      </c>
      <c r="E56" s="8" t="n">
        <f aca="false">INDEX(Tareas!$N$6:$N$37,MATCH(A56,Tareas!$A$6:$A$37,0))</f>
        <v>46357</v>
      </c>
      <c r="F56" s="34" t="n">
        <f aca="false">IF(OR($E56&lt;F$31,$D56&gt;F$32),0,$C56*NETWORKDAYS(MAX($D56,F$31),MIN($E56,F$32),Feriados)/NETWORKDAYS($D56,$E56,Feriados))</f>
        <v>0</v>
      </c>
      <c r="G56" s="34" t="n">
        <f aca="false">IF(OR($E56&lt;G$31,$D56&gt;G$32),0,$C56*NETWORKDAYS(MAX($D56,G$31),MIN($E56,G$32),Feriados)/NETWORKDAYS($D56,$E56,Feriados))</f>
        <v>6496</v>
      </c>
      <c r="H56" s="34" t="n">
        <f aca="false">IF(OR($E56&lt;H$31,$D56&gt;H$32),0,$C56*NETWORKDAYS(MAX($D56,H$31),MIN($E56,H$32),Feriados)/NETWORKDAYS($D56,$E56,Feriados))</f>
        <v>464</v>
      </c>
      <c r="I56" s="34" t="n">
        <f aca="false">IF(OR($E56&lt;I$31,$D56&gt;I$32),0,$C56*NETWORKDAYS(MAX($D56,I$31),MIN($E56,I$32),Feriados)/NETWORKDAYS($D56,$E56,Feriados))</f>
        <v>0</v>
      </c>
      <c r="J56" s="34" t="n">
        <f aca="false">IF(OR($E56&lt;J$31,$D56&gt;J$32),0,$C56*NETWORKDAYS(MAX($D56,J$31),MIN($E56,J$32),Feriados)/NETWORKDAYS($D56,$E56,Feriados))</f>
        <v>0</v>
      </c>
      <c r="K56" s="34" t="n">
        <f aca="false">IF(OR($E56&lt;K$31,$D56&gt;K$32),0,$C56*NETWORKDAYS(MAX($D56,K$31),MIN($E56,K$32),Feriados)/NETWORKDAYS($D56,$E56,Feriados))</f>
        <v>0</v>
      </c>
      <c r="L56" s="34" t="n">
        <f aca="false">IF(OR($E56&lt;L$31,$D56&gt;L$32),0,$C56*NETWORKDAYS(MAX($D56,L$31),MIN($E56,L$32),Feriados)/NETWORKDAYS($D56,$E56,Feriados))</f>
        <v>0</v>
      </c>
    </row>
    <row r="57" customFormat="false" ht="15" hidden="false" customHeight="false" outlineLevel="0" collapsed="false">
      <c r="A57" s="4" t="s">
        <v>152</v>
      </c>
      <c r="B57" s="30" t="str">
        <f aca="false">INDEX(Tareas!$B$6:$B$37,MATCH(A57,Tareas!$A$6:$A$37,0))</f>
        <v>Materiales y mesa de ayuda N1</v>
      </c>
      <c r="C57" s="9" t="n">
        <f aca="false">SUMIF(Costos!$A$5:$A$88,A57,Costos!$I$5:$I$88)</f>
        <v>4640</v>
      </c>
      <c r="D57" s="8" t="n">
        <f aca="false">INDEX(Tareas!$M$6:$M$37,MATCH(A57,Tareas!$A$6:$A$37,0))</f>
        <v>46358</v>
      </c>
      <c r="E57" s="8" t="n">
        <f aca="false">INDEX(Tareas!$N$6:$N$37,MATCH(A57,Tareas!$A$6:$A$37,0))</f>
        <v>46373</v>
      </c>
      <c r="F57" s="34" t="n">
        <f aca="false">IF(OR($E57&lt;F$31,$D57&gt;F$32),0,$C57*NETWORKDAYS(MAX($D57,F$31),MIN($E57,F$32),Feriados)/NETWORKDAYS($D57,$E57,Feriados))</f>
        <v>0</v>
      </c>
      <c r="G57" s="34" t="n">
        <f aca="false">IF(OR($E57&lt;G$31,$D57&gt;G$32),0,$C57*NETWORKDAYS(MAX($D57,G$31),MIN($E57,G$32),Feriados)/NETWORKDAYS($D57,$E57,Feriados))</f>
        <v>0</v>
      </c>
      <c r="H57" s="34" t="n">
        <f aca="false">IF(OR($E57&lt;H$31,$D57&gt;H$32),0,$C57*NETWORKDAYS(MAX($D57,H$31),MIN($E57,H$32),Feriados)/NETWORKDAYS($D57,$E57,Feriados))</f>
        <v>4640</v>
      </c>
      <c r="I57" s="34" t="n">
        <f aca="false">IF(OR($E57&lt;I$31,$D57&gt;I$32),0,$C57*NETWORKDAYS(MAX($D57,I$31),MIN($E57,I$32),Feriados)/NETWORKDAYS($D57,$E57,Feriados))</f>
        <v>0</v>
      </c>
      <c r="J57" s="34" t="n">
        <f aca="false">IF(OR($E57&lt;J$31,$D57&gt;J$32),0,$C57*NETWORKDAYS(MAX($D57,J$31),MIN($E57,J$32),Feriados)/NETWORKDAYS($D57,$E57,Feriados))</f>
        <v>0</v>
      </c>
      <c r="K57" s="34" t="n">
        <f aca="false">IF(OR($E57&lt;K$31,$D57&gt;K$32),0,$C57*NETWORKDAYS(MAX($D57,K$31),MIN($E57,K$32),Feriados)/NETWORKDAYS($D57,$E57,Feriados))</f>
        <v>0</v>
      </c>
      <c r="L57" s="34" t="n">
        <f aca="false">IF(OR($E57&lt;L$31,$D57&gt;L$32),0,$C57*NETWORKDAYS(MAX($D57,L$31),MIN($E57,L$32),Feriados)/NETWORKDAYS($D57,$E57,Feriados))</f>
        <v>0</v>
      </c>
    </row>
    <row r="58" customFormat="false" ht="15" hidden="false" customHeight="false" outlineLevel="0" collapsed="false">
      <c r="A58" s="4" t="s">
        <v>154</v>
      </c>
      <c r="B58" s="30" t="str">
        <f aca="false">INDEX(Tareas!$B$6:$B$37,MATCH(A58,Tareas!$A$6:$A$37,0))</f>
        <v>Ambientes, migración y despliegue</v>
      </c>
      <c r="C58" s="9" t="n">
        <f aca="false">SUMIF(Costos!$A$5:$A$88,A58,Costos!$I$5:$I$88)</f>
        <v>4416</v>
      </c>
      <c r="D58" s="8" t="n">
        <f aca="false">INDEX(Tareas!$M$6:$M$37,MATCH(A58,Tareas!$A$6:$A$37,0))</f>
        <v>46309</v>
      </c>
      <c r="E58" s="8" t="n">
        <f aca="false">INDEX(Tareas!$N$6:$N$37,MATCH(A58,Tareas!$A$6:$A$37,0))</f>
        <v>46324</v>
      </c>
      <c r="F58" s="34" t="n">
        <f aca="false">IF(OR($E58&lt;F$31,$D58&gt;F$32),0,$C58*NETWORKDAYS(MAX($D58,F$31),MIN($E58,F$32),Feriados)/NETWORKDAYS($D58,$E58,Feriados))</f>
        <v>4416</v>
      </c>
      <c r="G58" s="34" t="n">
        <f aca="false">IF(OR($E58&lt;G$31,$D58&gt;G$32),0,$C58*NETWORKDAYS(MAX($D58,G$31),MIN($E58,G$32),Feriados)/NETWORKDAYS($D58,$E58,Feriados))</f>
        <v>0</v>
      </c>
      <c r="H58" s="34" t="n">
        <f aca="false">IF(OR($E58&lt;H$31,$D58&gt;H$32),0,$C58*NETWORKDAYS(MAX($D58,H$31),MIN($E58,H$32),Feriados)/NETWORKDAYS($D58,$E58,Feriados))</f>
        <v>0</v>
      </c>
      <c r="I58" s="34" t="n">
        <f aca="false">IF(OR($E58&lt;I$31,$D58&gt;I$32),0,$C58*NETWORKDAYS(MAX($D58,I$31),MIN($E58,I$32),Feriados)/NETWORKDAYS($D58,$E58,Feriados))</f>
        <v>0</v>
      </c>
      <c r="J58" s="34" t="n">
        <f aca="false">IF(OR($E58&lt;J$31,$D58&gt;J$32),0,$C58*NETWORKDAYS(MAX($D58,J$31),MIN($E58,J$32),Feriados)/NETWORKDAYS($D58,$E58,Feriados))</f>
        <v>0</v>
      </c>
      <c r="K58" s="34" t="n">
        <f aca="false">IF(OR($E58&lt;K$31,$D58&gt;K$32),0,$C58*NETWORKDAYS(MAX($D58,K$31),MIN($E58,K$32),Feriados)/NETWORKDAYS($D58,$E58,Feriados))</f>
        <v>0</v>
      </c>
      <c r="L58" s="34" t="n">
        <f aca="false">IF(OR($E58&lt;L$31,$D58&gt;L$32),0,$C58*NETWORKDAYS(MAX($D58,L$31),MIN($E58,L$32),Feriados)/NETWORKDAYS($D58,$E58,Feriados))</f>
        <v>0</v>
      </c>
    </row>
    <row r="59" customFormat="false" ht="15" hidden="false" customHeight="false" outlineLevel="0" collapsed="false">
      <c r="A59" s="4" t="s">
        <v>54</v>
      </c>
      <c r="B59" s="30" t="str">
        <f aca="false">INDEX(Tareas!$B$6:$B$37,MATCH(A59,Tareas!$A$6:$A$37,0))</f>
        <v>Piloto y ajustes</v>
      </c>
      <c r="C59" s="9" t="n">
        <f aca="false">SUMIF(Costos!$A$5:$A$88,A59,Costos!$I$5:$I$88)</f>
        <v>17680</v>
      </c>
      <c r="D59" s="8" t="n">
        <f aca="false">INDEX(Tareas!$M$6:$M$37,MATCH(A59,Tareas!$A$6:$A$37,0))</f>
        <v>46344</v>
      </c>
      <c r="E59" s="8" t="n">
        <f aca="false">INDEX(Tareas!$N$6:$N$37,MATCH(A59,Tareas!$A$6:$A$37,0))</f>
        <v>46374</v>
      </c>
      <c r="F59" s="34" t="n">
        <f aca="false">IF(OR($E59&lt;F$31,$D59&gt;F$32),0,$C59*NETWORKDAYS(MAX($D59,F$31),MIN($E59,F$32),Feriados)/NETWORKDAYS($D59,$E59,Feriados))</f>
        <v>0</v>
      </c>
      <c r="G59" s="34" t="n">
        <f aca="false">IF(OR($E59&lt;G$31,$D59&gt;G$32),0,$C59*NETWORKDAYS(MAX($D59,G$31),MIN($E59,G$32),Feriados)/NETWORKDAYS($D59,$E59,Feriados))</f>
        <v>7072</v>
      </c>
      <c r="H59" s="34" t="n">
        <f aca="false">IF(OR($E59&lt;H$31,$D59&gt;H$32),0,$C59*NETWORKDAYS(MAX($D59,H$31),MIN($E59,H$32),Feriados)/NETWORKDAYS($D59,$E59,Feriados))</f>
        <v>10608</v>
      </c>
      <c r="I59" s="34" t="n">
        <f aca="false">IF(OR($E59&lt;I$31,$D59&gt;I$32),0,$C59*NETWORKDAYS(MAX($D59,I$31),MIN($E59,I$32),Feriados)/NETWORKDAYS($D59,$E59,Feriados))</f>
        <v>0</v>
      </c>
      <c r="J59" s="34" t="n">
        <f aca="false">IF(OR($E59&lt;J$31,$D59&gt;J$32),0,$C59*NETWORKDAYS(MAX($D59,J$31),MIN($E59,J$32),Feriados)/NETWORKDAYS($D59,$E59,Feriados))</f>
        <v>0</v>
      </c>
      <c r="K59" s="34" t="n">
        <f aca="false">IF(OR($E59&lt;K$31,$D59&gt;K$32),0,$C59*NETWORKDAYS(MAX($D59,K$31),MIN($E59,K$32),Feriados)/NETWORKDAYS($D59,$E59,Feriados))</f>
        <v>0</v>
      </c>
      <c r="L59" s="34" t="n">
        <f aca="false">IF(OR($E59&lt;L$31,$D59&gt;L$32),0,$C59*NETWORKDAYS(MAX($D59,L$31),MIN($E59,L$32),Feriados)/NETWORKDAYS($D59,$E59,Feriados))</f>
        <v>0</v>
      </c>
    </row>
    <row r="60" customFormat="false" ht="15" hidden="false" customHeight="false" outlineLevel="0" collapsed="false">
      <c r="A60" s="4" t="s">
        <v>60</v>
      </c>
      <c r="B60" s="30" t="str">
        <f aca="false">INDEX(Tareas!$B$6:$B$37,MATCH(A60,Tareas!$A$6:$A$37,0))</f>
        <v>UAT y acta de aceptación</v>
      </c>
      <c r="C60" s="9" t="n">
        <f aca="false">SUMIF(Costos!$A$5:$A$88,A60,Costos!$I$5:$I$88)</f>
        <v>7623</v>
      </c>
      <c r="D60" s="8" t="n">
        <f aca="false">INDEX(Tareas!$M$6:$M$37,MATCH(A60,Tareas!$A$6:$A$37,0))</f>
        <v>46462</v>
      </c>
      <c r="E60" s="8" t="n">
        <f aca="false">INDEX(Tareas!$N$6:$N$37,MATCH(A60,Tareas!$A$6:$A$37,0))</f>
        <v>46465</v>
      </c>
      <c r="F60" s="34" t="n">
        <f aca="false">IF(OR($E60&lt;F$31,$D60&gt;F$32),0,$C60*NETWORKDAYS(MAX($D60,F$31),MIN($E60,F$32),Feriados)/NETWORKDAYS($D60,$E60,Feriados))</f>
        <v>0</v>
      </c>
      <c r="G60" s="34" t="n">
        <f aca="false">IF(OR($E60&lt;G$31,$D60&gt;G$32),0,$C60*NETWORKDAYS(MAX($D60,G$31),MIN($E60,G$32),Feriados)/NETWORKDAYS($D60,$E60,Feriados))</f>
        <v>0</v>
      </c>
      <c r="H60" s="34" t="n">
        <f aca="false">IF(OR($E60&lt;H$31,$D60&gt;H$32),0,$C60*NETWORKDAYS(MAX($D60,H$31),MIN($E60,H$32),Feriados)/NETWORKDAYS($D60,$E60,Feriados))</f>
        <v>0</v>
      </c>
      <c r="I60" s="34" t="n">
        <f aca="false">IF(OR($E60&lt;I$31,$D60&gt;I$32),0,$C60*NETWORKDAYS(MAX($D60,I$31),MIN($E60,I$32),Feriados)/NETWORKDAYS($D60,$E60,Feriados))</f>
        <v>0</v>
      </c>
      <c r="J60" s="34" t="n">
        <f aca="false">IF(OR($E60&lt;J$31,$D60&gt;J$32),0,$C60*NETWORKDAYS(MAX($D60,J$31),MIN($E60,J$32),Feriados)/NETWORKDAYS($D60,$E60,Feriados))</f>
        <v>0</v>
      </c>
      <c r="K60" s="34" t="n">
        <f aca="false">IF(OR($E60&lt;K$31,$D60&gt;K$32),0,$C60*NETWORKDAYS(MAX($D60,K$31),MIN($E60,K$32),Feriados)/NETWORKDAYS($D60,$E60,Feriados))</f>
        <v>7623</v>
      </c>
      <c r="L60" s="34" t="n">
        <f aca="false">IF(OR($E60&lt;L$31,$D60&gt;L$32),0,$C60*NETWORKDAYS(MAX($D60,L$31),MIN($E60,L$32),Feriados)/NETWORKDAYS($D60,$E60,Feriados))</f>
        <v>0</v>
      </c>
    </row>
    <row r="61" customFormat="false" ht="15" hidden="false" customHeight="false" outlineLevel="0" collapsed="false">
      <c r="A61" s="4" t="s">
        <v>165</v>
      </c>
      <c r="B61" s="30" t="str">
        <f aca="false">INDEX(Tareas!$B$6:$B$37,MATCH(A61,Tareas!$A$6:$A$37,0))</f>
        <v>Go-live y estabilización (4 semanas)</v>
      </c>
      <c r="C61" s="9" t="n">
        <f aca="false">SUMIF(Costos!$A$5:$A$88,A61,Costos!$I$5:$I$88)</f>
        <v>30780</v>
      </c>
      <c r="D61" s="8" t="n">
        <f aca="false">INDEX(Tareas!$M$6:$M$37,MATCH(A61,Tareas!$A$6:$A$37,0))</f>
        <v>46477</v>
      </c>
      <c r="E61" s="8" t="n">
        <f aca="false">INDEX(Tareas!$N$6:$N$37,MATCH(A61,Tareas!$A$6:$A$37,0))</f>
        <v>46505</v>
      </c>
      <c r="F61" s="34" t="n">
        <f aca="false">IF(OR($E61&lt;F$31,$D61&gt;F$32),0,$C61*NETWORKDAYS(MAX($D61,F$31),MIN($E61,F$32),Feriados)/NETWORKDAYS($D61,$E61,Feriados))</f>
        <v>0</v>
      </c>
      <c r="G61" s="34" t="n">
        <f aca="false">IF(OR($E61&lt;G$31,$D61&gt;G$32),0,$C61*NETWORKDAYS(MAX($D61,G$31),MIN($E61,G$32),Feriados)/NETWORKDAYS($D61,$E61,Feriados))</f>
        <v>0</v>
      </c>
      <c r="H61" s="34" t="n">
        <f aca="false">IF(OR($E61&lt;H$31,$D61&gt;H$32),0,$C61*NETWORKDAYS(MAX($D61,H$31),MIN($E61,H$32),Feriados)/NETWORKDAYS($D61,$E61,Feriados))</f>
        <v>0</v>
      </c>
      <c r="I61" s="34" t="n">
        <f aca="false">IF(OR($E61&lt;I$31,$D61&gt;I$32),0,$C61*NETWORKDAYS(MAX($D61,I$31),MIN($E61,I$32),Feriados)/NETWORKDAYS($D61,$E61,Feriados))</f>
        <v>0</v>
      </c>
      <c r="J61" s="34" t="n">
        <f aca="false">IF(OR($E61&lt;J$31,$D61&gt;J$32),0,$C61*NETWORKDAYS(MAX($D61,J$31),MIN($E61,J$32),Feriados)/NETWORKDAYS($D61,$E61,Feriados))</f>
        <v>0</v>
      </c>
      <c r="K61" s="34" t="n">
        <f aca="false">IF(OR($E61&lt;K$31,$D61&gt;K$32),0,$C61*NETWORKDAYS(MAX($D61,K$31),MIN($E61,K$32),Feriados)/NETWORKDAYS($D61,$E61,Feriados))</f>
        <v>1539</v>
      </c>
      <c r="L61" s="34" t="n">
        <f aca="false">IF(OR($E61&lt;L$31,$D61&gt;L$32),0,$C61*NETWORKDAYS(MAX($D61,L$31),MIN($E61,L$32),Feriados)/NETWORKDAYS($D61,$E61,Feriados))</f>
        <v>29241</v>
      </c>
    </row>
    <row r="62" customFormat="false" ht="15" hidden="false" customHeight="false" outlineLevel="0" collapsed="false">
      <c r="A62" s="4" t="s">
        <v>169</v>
      </c>
      <c r="B62" s="30" t="str">
        <f aca="false">INDEX(Tareas!$B$6:$B$37,MATCH(A62,Tareas!$A$6:$A$37,0))</f>
        <v>Tablero y transferencia del seguimiento</v>
      </c>
      <c r="C62" s="9" t="n">
        <f aca="false">SUMIF(Costos!$A$5:$A$88,A62,Costos!$I$5:$I$88)</f>
        <v>3780</v>
      </c>
      <c r="D62" s="8" t="n">
        <f aca="false">INDEX(Tareas!$M$6:$M$37,MATCH(A62,Tareas!$A$6:$A$37,0))</f>
        <v>46496</v>
      </c>
      <c r="E62" s="8" t="n">
        <f aca="false">INDEX(Tareas!$N$6:$N$37,MATCH(A62,Tareas!$A$6:$A$37,0))</f>
        <v>46507</v>
      </c>
      <c r="F62" s="34" t="n">
        <f aca="false">IF(OR($E62&lt;F$31,$D62&gt;F$32),0,$C62*NETWORKDAYS(MAX($D62,F$31),MIN($E62,F$32),Feriados)/NETWORKDAYS($D62,$E62,Feriados))</f>
        <v>0</v>
      </c>
      <c r="G62" s="34" t="n">
        <f aca="false">IF(OR($E62&lt;G$31,$D62&gt;G$32),0,$C62*NETWORKDAYS(MAX($D62,G$31),MIN($E62,G$32),Feriados)/NETWORKDAYS($D62,$E62,Feriados))</f>
        <v>0</v>
      </c>
      <c r="H62" s="34" t="n">
        <f aca="false">IF(OR($E62&lt;H$31,$D62&gt;H$32),0,$C62*NETWORKDAYS(MAX($D62,H$31),MIN($E62,H$32),Feriados)/NETWORKDAYS($D62,$E62,Feriados))</f>
        <v>0</v>
      </c>
      <c r="I62" s="34" t="n">
        <f aca="false">IF(OR($E62&lt;I$31,$D62&gt;I$32),0,$C62*NETWORKDAYS(MAX($D62,I$31),MIN($E62,I$32),Feriados)/NETWORKDAYS($D62,$E62,Feriados))</f>
        <v>0</v>
      </c>
      <c r="J62" s="34" t="n">
        <f aca="false">IF(OR($E62&lt;J$31,$D62&gt;J$32),0,$C62*NETWORKDAYS(MAX($D62,J$31),MIN($E62,J$32),Feriados)/NETWORKDAYS($D62,$E62,Feriados))</f>
        <v>0</v>
      </c>
      <c r="K62" s="34" t="n">
        <f aca="false">IF(OR($E62&lt;K$31,$D62&gt;K$32),0,$C62*NETWORKDAYS(MAX($D62,K$31),MIN($E62,K$32),Feriados)/NETWORKDAYS($D62,$E62,Feriados))</f>
        <v>0</v>
      </c>
      <c r="L62" s="34" t="n">
        <f aca="false">IF(OR($E62&lt;L$31,$D62&gt;L$32),0,$C62*NETWORKDAYS(MAX($D62,L$31),MIN($E62,L$32),Feriados)/NETWORKDAYS($D62,$E62,Feriados))</f>
        <v>3780</v>
      </c>
    </row>
    <row r="63" customFormat="false" ht="15" hidden="false" customHeight="false" outlineLevel="0" collapsed="false">
      <c r="A63" s="4" t="s">
        <v>173</v>
      </c>
      <c r="B63" s="30" t="str">
        <f aca="false">INDEX(Tareas!$B$6:$B$37,MATCH(A63,Tareas!$A$6:$A$37,0))</f>
        <v>Informe de ocupación y recomendación</v>
      </c>
      <c r="C63" s="9" t="n">
        <f aca="false">SUMIF(Costos!$A$5:$A$88,A63,Costos!$I$5:$I$88)</f>
        <v>2690</v>
      </c>
      <c r="D63" s="8" t="n">
        <f aca="false">INDEX(Tareas!$M$6:$M$37,MATCH(A63,Tareas!$A$6:$A$37,0))</f>
        <v>46496</v>
      </c>
      <c r="E63" s="8" t="n">
        <f aca="false">INDEX(Tareas!$N$6:$N$37,MATCH(A63,Tareas!$A$6:$A$37,0))</f>
        <v>46507</v>
      </c>
      <c r="F63" s="34" t="n">
        <f aca="false">IF(OR($E63&lt;F$31,$D63&gt;F$32),0,$C63*NETWORKDAYS(MAX($D63,F$31),MIN($E63,F$32),Feriados)/NETWORKDAYS($D63,$E63,Feriados))</f>
        <v>0</v>
      </c>
      <c r="G63" s="34" t="n">
        <f aca="false">IF(OR($E63&lt;G$31,$D63&gt;G$32),0,$C63*NETWORKDAYS(MAX($D63,G$31),MIN($E63,G$32),Feriados)/NETWORKDAYS($D63,$E63,Feriados))</f>
        <v>0</v>
      </c>
      <c r="H63" s="34" t="n">
        <f aca="false">IF(OR($E63&lt;H$31,$D63&gt;H$32),0,$C63*NETWORKDAYS(MAX($D63,H$31),MIN($E63,H$32),Feriados)/NETWORKDAYS($D63,$E63,Feriados))</f>
        <v>0</v>
      </c>
      <c r="I63" s="34" t="n">
        <f aca="false">IF(OR($E63&lt;I$31,$D63&gt;I$32),0,$C63*NETWORKDAYS(MAX($D63,I$31),MIN($E63,I$32),Feriados)/NETWORKDAYS($D63,$E63,Feriados))</f>
        <v>0</v>
      </c>
      <c r="J63" s="34" t="n">
        <f aca="false">IF(OR($E63&lt;J$31,$D63&gt;J$32),0,$C63*NETWORKDAYS(MAX($D63,J$31),MIN($E63,J$32),Feriados)/NETWORKDAYS($D63,$E63,Feriados))</f>
        <v>0</v>
      </c>
      <c r="K63" s="34" t="n">
        <f aca="false">IF(OR($E63&lt;K$31,$D63&gt;K$32),0,$C63*NETWORKDAYS(MAX($D63,K$31),MIN($E63,K$32),Feriados)/NETWORKDAYS($D63,$E63,Feriados))</f>
        <v>0</v>
      </c>
      <c r="L63" s="34" t="n">
        <f aca="false">IF(OR($E63&lt;L$31,$D63&gt;L$32),0,$C63*NETWORKDAYS(MAX($D63,L$31),MIN($E63,L$32),Feriados)/NETWORKDAYS($D63,$E63,Feriados))</f>
        <v>2690</v>
      </c>
    </row>
    <row r="64" customFormat="false" ht="15" hidden="false" customHeight="false" outlineLevel="0" collapsed="false">
      <c r="A64" s="4" t="s">
        <v>210</v>
      </c>
      <c r="B64" s="30" t="str">
        <f aca="false">Partidas!B5</f>
        <v>Licencia WorkHub, 1.200 usuarios nominados (primer año de soporte incluido)</v>
      </c>
      <c r="C64" s="9" t="n">
        <f aca="false">Partidas!G5</f>
        <v>108000</v>
      </c>
      <c r="D64" s="8" t="n">
        <f aca="false">Partidas!J5</f>
        <v>46296</v>
      </c>
      <c r="E64" s="8" t="n">
        <f aca="false">Partidas!K5</f>
        <v>46296</v>
      </c>
      <c r="F64" s="34" t="n">
        <f aca="false">IF(OR($E64&lt;F$31,$D64&gt;F$32),0,$C64*NETWORKDAYS(MAX($D64,F$31),MIN($E64,F$32),Feriados)/NETWORKDAYS($D64,$E64,Feriados))</f>
        <v>108000</v>
      </c>
      <c r="G64" s="34" t="n">
        <f aca="false">IF(OR($E64&lt;G$31,$D64&gt;G$32),0,$C64*NETWORKDAYS(MAX($D64,G$31),MIN($E64,G$32),Feriados)/NETWORKDAYS($D64,$E64,Feriados))</f>
        <v>0</v>
      </c>
      <c r="H64" s="34" t="n">
        <f aca="false">IF(OR($E64&lt;H$31,$D64&gt;H$32),0,$C64*NETWORKDAYS(MAX($D64,H$31),MIN($E64,H$32),Feriados)/NETWORKDAYS($D64,$E64,Feriados))</f>
        <v>0</v>
      </c>
      <c r="I64" s="34" t="n">
        <f aca="false">IF(OR($E64&lt;I$31,$D64&gt;I$32),0,$C64*NETWORKDAYS(MAX($D64,I$31),MIN($E64,I$32),Feriados)/NETWORKDAYS($D64,$E64,Feriados))</f>
        <v>0</v>
      </c>
      <c r="J64" s="34" t="n">
        <f aca="false">IF(OR($E64&lt;J$31,$D64&gt;J$32),0,$C64*NETWORKDAYS(MAX($D64,J$31),MIN($E64,J$32),Feriados)/NETWORKDAYS($D64,$E64,Feriados))</f>
        <v>0</v>
      </c>
      <c r="K64" s="34" t="n">
        <f aca="false">IF(OR($E64&lt;K$31,$D64&gt;K$32),0,$C64*NETWORKDAYS(MAX($D64,K$31),MIN($E64,K$32),Feriados)/NETWORKDAYS($D64,$E64,Feriados))</f>
        <v>0</v>
      </c>
      <c r="L64" s="34" t="n">
        <f aca="false">IF(OR($E64&lt;L$31,$D64&gt;L$32),0,$C64*NETWORKDAYS(MAX($D64,L$31),MIN($E64,L$32),Feriados)/NETWORKDAYS($D64,$E64,Feriados))</f>
        <v>0</v>
      </c>
    </row>
    <row r="65" customFormat="false" ht="15" hidden="false" customHeight="false" outlineLevel="0" collapsed="false">
      <c r="A65" s="4" t="s">
        <v>215</v>
      </c>
      <c r="B65" s="30" t="str">
        <f aca="false">Partidas!B6</f>
        <v>Entorno de desarrollo (Azure Brasil Sur)</v>
      </c>
      <c r="C65" s="9" t="n">
        <f aca="false">Partidas!G6</f>
        <v>1050</v>
      </c>
      <c r="D65" s="8" t="n">
        <f aca="false">Partidas!J6</f>
        <v>46309</v>
      </c>
      <c r="E65" s="8" t="n">
        <f aca="false">Partidas!K6</f>
        <v>46507</v>
      </c>
      <c r="F65" s="34" t="n">
        <f aca="false">IF(OR($E65&lt;F$31,$D65&gt;F$32),0,$C65*NETWORKDAYS(MAX($D65,F$31),MIN($E65,F$32),Feriados)/NETWORKDAYS($D65,$E65,Feriados))</f>
        <v>103.409090909091</v>
      </c>
      <c r="G65" s="34" t="n">
        <f aca="false">IF(OR($E65&lt;G$31,$D65&gt;G$32),0,$C65*NETWORKDAYS(MAX($D65,G$31),MIN($E65,G$32),Feriados)/NETWORKDAYS($D65,$E65,Feriados))</f>
        <v>159.090909090909</v>
      </c>
      <c r="H65" s="34" t="n">
        <f aca="false">IF(OR($E65&lt;H$31,$D65&gt;H$32),0,$C65*NETWORKDAYS(MAX($D65,H$31),MIN($E65,H$32),Feriados)/NETWORKDAYS($D65,$E65,Feriados))</f>
        <v>159.090909090909</v>
      </c>
      <c r="I65" s="34" t="n">
        <f aca="false">IF(OR($E65&lt;I$31,$D65&gt;I$32),0,$C65*NETWORKDAYS(MAX($D65,I$31),MIN($E65,I$32),Feriados)/NETWORKDAYS($D65,$E65,Feriados))</f>
        <v>159.090909090909</v>
      </c>
      <c r="J65" s="34" t="n">
        <f aca="false">IF(OR($E65&lt;J$31,$D65&gt;J$32),0,$C65*NETWORKDAYS(MAX($D65,J$31),MIN($E65,J$32),Feriados)/NETWORKDAYS($D65,$E65,Feriados))</f>
        <v>143.181818181818</v>
      </c>
      <c r="K65" s="34" t="n">
        <f aca="false">IF(OR($E65&lt;K$31,$D65&gt;K$32),0,$C65*NETWORKDAYS(MAX($D65,K$31),MIN($E65,K$32),Feriados)/NETWORKDAYS($D65,$E65,Feriados))</f>
        <v>159.090909090909</v>
      </c>
      <c r="L65" s="34" t="n">
        <f aca="false">IF(OR($E65&lt;L$31,$D65&gt;L$32),0,$C65*NETWORKDAYS(MAX($D65,L$31),MIN($E65,L$32),Feriados)/NETWORKDAYS($D65,$E65,Feriados))</f>
        <v>167.045454545455</v>
      </c>
    </row>
    <row r="66" customFormat="false" ht="15" hidden="false" customHeight="false" outlineLevel="0" collapsed="false">
      <c r="A66" s="4" t="s">
        <v>220</v>
      </c>
      <c r="B66" s="30" t="str">
        <f aca="false">Partidas!B7</f>
        <v>Entorno de QA / staging</v>
      </c>
      <c r="C66" s="9" t="n">
        <f aca="false">Partidas!G7</f>
        <v>1500</v>
      </c>
      <c r="D66" s="8" t="n">
        <f aca="false">Partidas!J7</f>
        <v>46309</v>
      </c>
      <c r="E66" s="8" t="n">
        <f aca="false">Partidas!K7</f>
        <v>46505</v>
      </c>
      <c r="F66" s="34" t="n">
        <f aca="false">IF(OR($E66&lt;F$31,$D66&gt;F$32),0,$C66*NETWORKDAYS(MAX($D66,F$31),MIN($E66,F$32),Feriados)/NETWORKDAYS($D66,$E66,Feriados))</f>
        <v>150</v>
      </c>
      <c r="G66" s="34" t="n">
        <f aca="false">IF(OR($E66&lt;G$31,$D66&gt;G$32),0,$C66*NETWORKDAYS(MAX($D66,G$31),MIN($E66,G$32),Feriados)/NETWORKDAYS($D66,$E66,Feriados))</f>
        <v>230.769230769231</v>
      </c>
      <c r="H66" s="34" t="n">
        <f aca="false">IF(OR($E66&lt;H$31,$D66&gt;H$32),0,$C66*NETWORKDAYS(MAX($D66,H$31),MIN($E66,H$32),Feriados)/NETWORKDAYS($D66,$E66,Feriados))</f>
        <v>230.769230769231</v>
      </c>
      <c r="I66" s="34" t="n">
        <f aca="false">IF(OR($E66&lt;I$31,$D66&gt;I$32),0,$C66*NETWORKDAYS(MAX($D66,I$31),MIN($E66,I$32),Feriados)/NETWORKDAYS($D66,$E66,Feriados))</f>
        <v>230.769230769231</v>
      </c>
      <c r="J66" s="34" t="n">
        <f aca="false">IF(OR($E66&lt;J$31,$D66&gt;J$32),0,$C66*NETWORKDAYS(MAX($D66,J$31),MIN($E66,J$32),Feriados)/NETWORKDAYS($D66,$E66,Feriados))</f>
        <v>207.692307692308</v>
      </c>
      <c r="K66" s="34" t="n">
        <f aca="false">IF(OR($E66&lt;K$31,$D66&gt;K$32),0,$C66*NETWORKDAYS(MAX($D66,K$31),MIN($E66,K$32),Feriados)/NETWORKDAYS($D66,$E66,Feriados))</f>
        <v>230.769230769231</v>
      </c>
      <c r="L66" s="34" t="n">
        <f aca="false">IF(OR($E66&lt;L$31,$D66&gt;L$32),0,$C66*NETWORKDAYS(MAX($D66,L$31),MIN($E66,L$32),Feriados)/NETWORKDAYS($D66,$E66,Feriados))</f>
        <v>219.230769230769</v>
      </c>
    </row>
    <row r="67" customFormat="false" ht="15" hidden="false" customHeight="false" outlineLevel="0" collapsed="false">
      <c r="A67" s="4" t="s">
        <v>223</v>
      </c>
      <c r="B67" s="30" t="str">
        <f aca="false">Partidas!B8</f>
        <v>Entorno de producción (alineado al hosting anual de N1: USD 5.060 / 12)</v>
      </c>
      <c r="C67" s="9" t="n">
        <f aca="false">Partidas!G8</f>
        <v>844</v>
      </c>
      <c r="D67" s="8" t="n">
        <f aca="false">Partidas!J8</f>
        <v>46477</v>
      </c>
      <c r="E67" s="8" t="n">
        <f aca="false">Partidas!K8</f>
        <v>46507</v>
      </c>
      <c r="F67" s="34" t="n">
        <f aca="false">IF(OR($E67&lt;F$31,$D67&gt;F$32),0,$C67*NETWORKDAYS(MAX($D67,F$31),MIN($E67,F$32),Feriados)/NETWORKDAYS($D67,$E67,Feriados))</f>
        <v>0</v>
      </c>
      <c r="G67" s="34" t="n">
        <f aca="false">IF(OR($E67&lt;G$31,$D67&gt;G$32),0,$C67*NETWORKDAYS(MAX($D67,G$31),MIN($E67,G$32),Feriados)/NETWORKDAYS($D67,$E67,Feriados))</f>
        <v>0</v>
      </c>
      <c r="H67" s="34" t="n">
        <f aca="false">IF(OR($E67&lt;H$31,$D67&gt;H$32),0,$C67*NETWORKDAYS(MAX($D67,H$31),MIN($E67,H$32),Feriados)/NETWORKDAYS($D67,$E67,Feriados))</f>
        <v>0</v>
      </c>
      <c r="I67" s="34" t="n">
        <f aca="false">IF(OR($E67&lt;I$31,$D67&gt;I$32),0,$C67*NETWORKDAYS(MAX($D67,I$31),MIN($E67,I$32),Feriados)/NETWORKDAYS($D67,$E67,Feriados))</f>
        <v>0</v>
      </c>
      <c r="J67" s="34" t="n">
        <f aca="false">IF(OR($E67&lt;J$31,$D67&gt;J$32),0,$C67*NETWORKDAYS(MAX($D67,J$31),MIN($E67,J$32),Feriados)/NETWORKDAYS($D67,$E67,Feriados))</f>
        <v>0</v>
      </c>
      <c r="K67" s="34" t="n">
        <f aca="false">IF(OR($E67&lt;K$31,$D67&gt;K$32),0,$C67*NETWORKDAYS(MAX($D67,K$31),MIN($E67,K$32),Feriados)/NETWORKDAYS($D67,$E67,Feriados))</f>
        <v>38.3636363636364</v>
      </c>
      <c r="L67" s="34" t="n">
        <f aca="false">IF(OR($E67&lt;L$31,$D67&gt;L$32),0,$C67*NETWORKDAYS(MAX($D67,L$31),MIN($E67,L$32),Feriados)/NETWORKDAYS($D67,$E67,Feriados))</f>
        <v>805.636363636364</v>
      </c>
    </row>
    <row r="68" customFormat="false" ht="15" hidden="false" customHeight="false" outlineLevel="0" collapsed="false">
      <c r="A68" s="4" t="s">
        <v>226</v>
      </c>
      <c r="B68" s="30" t="str">
        <f aca="false">Partidas!B9</f>
        <v>Observabilidad y logs (APM)</v>
      </c>
      <c r="C68" s="9" t="n">
        <f aca="false">Partidas!G9</f>
        <v>2100</v>
      </c>
      <c r="D68" s="8" t="n">
        <f aca="false">Partidas!J9</f>
        <v>46309</v>
      </c>
      <c r="E68" s="8" t="n">
        <f aca="false">Partidas!K9</f>
        <v>46507</v>
      </c>
      <c r="F68" s="34" t="n">
        <f aca="false">IF(OR($E68&lt;F$31,$D68&gt;F$32),0,$C68*NETWORKDAYS(MAX($D68,F$31),MIN($E68,F$32),Feriados)/NETWORKDAYS($D68,$E68,Feriados))</f>
        <v>206.818181818182</v>
      </c>
      <c r="G68" s="34" t="n">
        <f aca="false">IF(OR($E68&lt;G$31,$D68&gt;G$32),0,$C68*NETWORKDAYS(MAX($D68,G$31),MIN($E68,G$32),Feriados)/NETWORKDAYS($D68,$E68,Feriados))</f>
        <v>318.181818181818</v>
      </c>
      <c r="H68" s="34" t="n">
        <f aca="false">IF(OR($E68&lt;H$31,$D68&gt;H$32),0,$C68*NETWORKDAYS(MAX($D68,H$31),MIN($E68,H$32),Feriados)/NETWORKDAYS($D68,$E68,Feriados))</f>
        <v>318.181818181818</v>
      </c>
      <c r="I68" s="34" t="n">
        <f aca="false">IF(OR($E68&lt;I$31,$D68&gt;I$32),0,$C68*NETWORKDAYS(MAX($D68,I$31),MIN($E68,I$32),Feriados)/NETWORKDAYS($D68,$E68,Feriados))</f>
        <v>318.181818181818</v>
      </c>
      <c r="J68" s="34" t="n">
        <f aca="false">IF(OR($E68&lt;J$31,$D68&gt;J$32),0,$C68*NETWORKDAYS(MAX($D68,J$31),MIN($E68,J$32),Feriados)/NETWORKDAYS($D68,$E68,Feriados))</f>
        <v>286.363636363636</v>
      </c>
      <c r="K68" s="34" t="n">
        <f aca="false">IF(OR($E68&lt;K$31,$D68&gt;K$32),0,$C68*NETWORKDAYS(MAX($D68,K$31),MIN($E68,K$32),Feriados)/NETWORKDAYS($D68,$E68,Feriados))</f>
        <v>318.181818181818</v>
      </c>
      <c r="L68" s="34" t="n">
        <f aca="false">IF(OR($E68&lt;L$31,$D68&gt;L$32),0,$C68*NETWORKDAYS(MAX($D68,L$31),MIN($E68,L$32),Feriados)/NETWORKDAYS($D68,$E68,Feriados))</f>
        <v>334.090909090909</v>
      </c>
    </row>
    <row r="69" customFormat="false" ht="15" hidden="false" customHeight="false" outlineLevel="0" collapsed="false">
      <c r="A69" s="4" t="s">
        <v>228</v>
      </c>
      <c r="B69" s="30" t="str">
        <f aca="false">Partidas!B10</f>
        <v>Herramientas de soporte del equipo (CI/CD, backlog, bóveda de secretos)</v>
      </c>
      <c r="C69" s="9" t="n">
        <f aca="false">Partidas!G10</f>
        <v>1680</v>
      </c>
      <c r="D69" s="8" t="n">
        <f aca="false">Partidas!J10</f>
        <v>46309</v>
      </c>
      <c r="E69" s="8" t="n">
        <f aca="false">Partidas!K10</f>
        <v>46507</v>
      </c>
      <c r="F69" s="34" t="n">
        <f aca="false">IF(OR($E69&lt;F$31,$D69&gt;F$32),0,$C69*NETWORKDAYS(MAX($D69,F$31),MIN($E69,F$32),Feriados)/NETWORKDAYS($D69,$E69,Feriados))</f>
        <v>165.454545454545</v>
      </c>
      <c r="G69" s="34" t="n">
        <f aca="false">IF(OR($E69&lt;G$31,$D69&gt;G$32),0,$C69*NETWORKDAYS(MAX($D69,G$31),MIN($E69,G$32),Feriados)/NETWORKDAYS($D69,$E69,Feriados))</f>
        <v>254.545454545455</v>
      </c>
      <c r="H69" s="34" t="n">
        <f aca="false">IF(OR($E69&lt;H$31,$D69&gt;H$32),0,$C69*NETWORKDAYS(MAX($D69,H$31),MIN($E69,H$32),Feriados)/NETWORKDAYS($D69,$E69,Feriados))</f>
        <v>254.545454545455</v>
      </c>
      <c r="I69" s="34" t="n">
        <f aca="false">IF(OR($E69&lt;I$31,$D69&gt;I$32),0,$C69*NETWORKDAYS(MAX($D69,I$31),MIN($E69,I$32),Feriados)/NETWORKDAYS($D69,$E69,Feriados))</f>
        <v>254.545454545455</v>
      </c>
      <c r="J69" s="34" t="n">
        <f aca="false">IF(OR($E69&lt;J$31,$D69&gt;J$32),0,$C69*NETWORKDAYS(MAX($D69,J$31),MIN($E69,J$32),Feriados)/NETWORKDAYS($D69,$E69,Feriados))</f>
        <v>229.090909090909</v>
      </c>
      <c r="K69" s="34" t="n">
        <f aca="false">IF(OR($E69&lt;K$31,$D69&gt;K$32),0,$C69*NETWORKDAYS(MAX($D69,K$31),MIN($E69,K$32),Feriados)/NETWORKDAYS($D69,$E69,Feriados))</f>
        <v>254.545454545455</v>
      </c>
      <c r="L69" s="34" t="n">
        <f aca="false">IF(OR($E69&lt;L$31,$D69&gt;L$32),0,$C69*NETWORKDAYS(MAX($D69,L$31),MIN($E69,L$32),Feriados)/NETWORKDAYS($D69,$E69,Feriados))</f>
        <v>267.272727272727</v>
      </c>
    </row>
    <row r="70" customFormat="false" ht="15" hidden="false" customHeight="false" outlineLevel="0" collapsed="false">
      <c r="A70" s="4" t="s">
        <v>232</v>
      </c>
      <c r="B70" s="30" t="str">
        <f aca="false">Partidas!B11</f>
        <v>Piezas de la campaña de lanzamiento (diseño y producción)</v>
      </c>
      <c r="C70" s="9" t="n">
        <f aca="false">Partidas!G11</f>
        <v>3600</v>
      </c>
      <c r="D70" s="8" t="n">
        <f aca="false">Partidas!J11</f>
        <v>46447</v>
      </c>
      <c r="E70" s="8" t="n">
        <f aca="false">Partidas!K11</f>
        <v>46465</v>
      </c>
      <c r="F70" s="34" t="n">
        <f aca="false">IF(OR($E70&lt;F$31,$D70&gt;F$32),0,$C70*NETWORKDAYS(MAX($D70,F$31),MIN($E70,F$32),Feriados)/NETWORKDAYS($D70,$E70,Feriados))</f>
        <v>0</v>
      </c>
      <c r="G70" s="34" t="n">
        <f aca="false">IF(OR($E70&lt;G$31,$D70&gt;G$32),0,$C70*NETWORKDAYS(MAX($D70,G$31),MIN($E70,G$32),Feriados)/NETWORKDAYS($D70,$E70,Feriados))</f>
        <v>0</v>
      </c>
      <c r="H70" s="34" t="n">
        <f aca="false">IF(OR($E70&lt;H$31,$D70&gt;H$32),0,$C70*NETWORKDAYS(MAX($D70,H$31),MIN($E70,H$32),Feriados)/NETWORKDAYS($D70,$E70,Feriados))</f>
        <v>0</v>
      </c>
      <c r="I70" s="34" t="n">
        <f aca="false">IF(OR($E70&lt;I$31,$D70&gt;I$32),0,$C70*NETWORKDAYS(MAX($D70,I$31),MIN($E70,I$32),Feriados)/NETWORKDAYS($D70,$E70,Feriados))</f>
        <v>0</v>
      </c>
      <c r="J70" s="34" t="n">
        <f aca="false">IF(OR($E70&lt;J$31,$D70&gt;J$32),0,$C70*NETWORKDAYS(MAX($D70,J$31),MIN($E70,J$32),Feriados)/NETWORKDAYS($D70,$E70,Feriados))</f>
        <v>0</v>
      </c>
      <c r="K70" s="34" t="n">
        <f aca="false">IF(OR($E70&lt;K$31,$D70&gt;K$32),0,$C70*NETWORKDAYS(MAX($D70,K$31),MIN($E70,K$32),Feriados)/NETWORKDAYS($D70,$E70,Feriados))</f>
        <v>3600</v>
      </c>
      <c r="L70" s="34" t="n">
        <f aca="false">IF(OR($E70&lt;L$31,$D70&gt;L$32),0,$C70*NETWORKDAYS(MAX($D70,L$31),MIN($E70,L$32),Feriados)/NETWORKDAYS($D70,$E70,Feriados))</f>
        <v>0</v>
      </c>
    </row>
    <row r="71" customFormat="false" ht="15" hidden="false" customHeight="false" outlineLevel="0" collapsed="false">
      <c r="A71" s="4" t="s">
        <v>237</v>
      </c>
      <c r="B71" s="30" t="str">
        <f aca="false">Partidas!B12</f>
        <v>Materiales de capacitación (video-tutoriales y guías)</v>
      </c>
      <c r="C71" s="9" t="n">
        <f aca="false">Partidas!G12</f>
        <v>3600</v>
      </c>
      <c r="D71" s="8" t="n">
        <f aca="false">Partidas!J12</f>
        <v>46336</v>
      </c>
      <c r="E71" s="8" t="n">
        <f aca="false">Partidas!K12</f>
        <v>46373</v>
      </c>
      <c r="F71" s="34" t="n">
        <f aca="false">IF(OR($E71&lt;F$31,$D71&gt;F$32),0,$C71*NETWORKDAYS(MAX($D71,F$31),MIN($E71,F$32),Feriados)/NETWORKDAYS($D71,$E71,Feriados))</f>
        <v>0</v>
      </c>
      <c r="G71" s="34" t="n">
        <f aca="false">IF(OR($E71&lt;G$31,$D71&gt;G$32),0,$C71*NETWORKDAYS(MAX($D71,G$31),MIN($E71,G$32),Feriados)/NETWORKDAYS($D71,$E71,Feriados))</f>
        <v>2016</v>
      </c>
      <c r="H71" s="34" t="n">
        <f aca="false">IF(OR($E71&lt;H$31,$D71&gt;H$32),0,$C71*NETWORKDAYS(MAX($D71,H$31),MIN($E71,H$32),Feriados)/NETWORKDAYS($D71,$E71,Feriados))</f>
        <v>1584</v>
      </c>
      <c r="I71" s="34" t="n">
        <f aca="false">IF(OR($E71&lt;I$31,$D71&gt;I$32),0,$C71*NETWORKDAYS(MAX($D71,I$31),MIN($E71,I$32),Feriados)/NETWORKDAYS($D71,$E71,Feriados))</f>
        <v>0</v>
      </c>
      <c r="J71" s="34" t="n">
        <f aca="false">IF(OR($E71&lt;J$31,$D71&gt;J$32),0,$C71*NETWORKDAYS(MAX($D71,J$31),MIN($E71,J$32),Feriados)/NETWORKDAYS($D71,$E71,Feriados))</f>
        <v>0</v>
      </c>
      <c r="K71" s="34" t="n">
        <f aca="false">IF(OR($E71&lt;K$31,$D71&gt;K$32),0,$C71*NETWORKDAYS(MAX($D71,K$31),MIN($E71,K$32),Feriados)/NETWORKDAYS($D71,$E71,Feriados))</f>
        <v>0</v>
      </c>
      <c r="L71" s="34" t="n">
        <f aca="false">IF(OR($E71&lt;L$31,$D71&gt;L$32),0,$C71*NETWORKDAYS(MAX($D71,L$31),MIN($E71,L$32),Feriados)/NETWORKDAYS($D71,$E71,Feriados))</f>
        <v>0</v>
      </c>
    </row>
    <row r="72" customFormat="false" ht="15" hidden="false" customHeight="false" outlineLevel="0" collapsed="false">
      <c r="A72" s="4" t="s">
        <v>240</v>
      </c>
      <c r="B72" s="30" t="str">
        <f aca="false">Partidas!B13</f>
        <v>Sesiones de capacitación a 1.200 colaboradores (logística)</v>
      </c>
      <c r="C72" s="9" t="n">
        <f aca="false">Partidas!G13</f>
        <v>3600</v>
      </c>
      <c r="D72" s="8" t="n">
        <f aca="false">Partidas!J13</f>
        <v>46336</v>
      </c>
      <c r="E72" s="8" t="n">
        <f aca="false">Partidas!K13</f>
        <v>46373</v>
      </c>
      <c r="F72" s="34" t="n">
        <f aca="false">IF(OR($E72&lt;F$31,$D72&gt;F$32),0,$C72*NETWORKDAYS(MAX($D72,F$31),MIN($E72,F$32),Feriados)/NETWORKDAYS($D72,$E72,Feriados))</f>
        <v>0</v>
      </c>
      <c r="G72" s="34" t="n">
        <f aca="false">IF(OR($E72&lt;G$31,$D72&gt;G$32),0,$C72*NETWORKDAYS(MAX($D72,G$31),MIN($E72,G$32),Feriados)/NETWORKDAYS($D72,$E72,Feriados))</f>
        <v>2016</v>
      </c>
      <c r="H72" s="34" t="n">
        <f aca="false">IF(OR($E72&lt;H$31,$D72&gt;H$32),0,$C72*NETWORKDAYS(MAX($D72,H$31),MIN($E72,H$32),Feriados)/NETWORKDAYS($D72,$E72,Feriados))</f>
        <v>1584</v>
      </c>
      <c r="I72" s="34" t="n">
        <f aca="false">IF(OR($E72&lt;I$31,$D72&gt;I$32),0,$C72*NETWORKDAYS(MAX($D72,I$31),MIN($E72,I$32),Feriados)/NETWORKDAYS($D72,$E72,Feriados))</f>
        <v>0</v>
      </c>
      <c r="J72" s="34" t="n">
        <f aca="false">IF(OR($E72&lt;J$31,$D72&gt;J$32),0,$C72*NETWORKDAYS(MAX($D72,J$31),MIN($E72,J$32),Feriados)/NETWORKDAYS($D72,$E72,Feriados))</f>
        <v>0</v>
      </c>
      <c r="K72" s="34" t="n">
        <f aca="false">IF(OR($E72&lt;K$31,$D72&gt;K$32),0,$C72*NETWORKDAYS(MAX($D72,K$31),MIN($E72,K$32),Feriados)/NETWORKDAYS($D72,$E72,Feriados))</f>
        <v>0</v>
      </c>
      <c r="L72" s="34" t="n">
        <f aca="false">IF(OR($E72&lt;L$31,$D72&gt;L$32),0,$C72*NETWORKDAYS(MAX($D72,L$31),MIN($E72,L$32),Feriados)/NETWORKDAYS($D72,$E72,Feriados))</f>
        <v>0</v>
      </c>
    </row>
    <row r="73" customFormat="false" ht="15" hidden="false" customHeight="false" outlineLevel="0" collapsed="false">
      <c r="A73" s="4" t="s">
        <v>244</v>
      </c>
      <c r="B73" s="30" t="str">
        <f aca="false">Partidas!B14</f>
        <v>Encuestas de intención de uso y pulso</v>
      </c>
      <c r="C73" s="9" t="n">
        <f aca="false">Partidas!G14</f>
        <v>900</v>
      </c>
      <c r="D73" s="8" t="n">
        <f aca="false">Partidas!J14</f>
        <v>46308</v>
      </c>
      <c r="E73" s="8" t="n">
        <f aca="false">Partidas!K14</f>
        <v>46321</v>
      </c>
      <c r="F73" s="34" t="n">
        <f aca="false">IF(OR($E73&lt;F$31,$D73&gt;F$32),0,$C73*NETWORKDAYS(MAX($D73,F$31),MIN($E73,F$32),Feriados)/NETWORKDAYS($D73,$E73,Feriados))</f>
        <v>900</v>
      </c>
      <c r="G73" s="34" t="n">
        <f aca="false">IF(OR($E73&lt;G$31,$D73&gt;G$32),0,$C73*NETWORKDAYS(MAX($D73,G$31),MIN($E73,G$32),Feriados)/NETWORKDAYS($D73,$E73,Feriados))</f>
        <v>0</v>
      </c>
      <c r="H73" s="34" t="n">
        <f aca="false">IF(OR($E73&lt;H$31,$D73&gt;H$32),0,$C73*NETWORKDAYS(MAX($D73,H$31),MIN($E73,H$32),Feriados)/NETWORKDAYS($D73,$E73,Feriados))</f>
        <v>0</v>
      </c>
      <c r="I73" s="34" t="n">
        <f aca="false">IF(OR($E73&lt;I$31,$D73&gt;I$32),0,$C73*NETWORKDAYS(MAX($D73,I$31),MIN($E73,I$32),Feriados)/NETWORKDAYS($D73,$E73,Feriados))</f>
        <v>0</v>
      </c>
      <c r="J73" s="34" t="n">
        <f aca="false">IF(OR($E73&lt;J$31,$D73&gt;J$32),0,$C73*NETWORKDAYS(MAX($D73,J$31),MIN($E73,J$32),Feriados)/NETWORKDAYS($D73,$E73,Feriados))</f>
        <v>0</v>
      </c>
      <c r="K73" s="34" t="n">
        <f aca="false">IF(OR($E73&lt;K$31,$D73&gt;K$32),0,$C73*NETWORKDAYS(MAX($D73,K$31),MIN($E73,K$32),Feriados)/NETWORKDAYS($D73,$E73,Feriados))</f>
        <v>0</v>
      </c>
      <c r="L73" s="34" t="n">
        <f aca="false">IF(OR($E73&lt;L$31,$D73&gt;L$32),0,$C73*NETWORKDAYS(MAX($D73,L$31),MIN($E73,L$32),Feriados)/NETWORKDAYS($D73,$E73,Feriados))</f>
        <v>0</v>
      </c>
    </row>
    <row r="74" customFormat="false" ht="15" hidden="false" customHeight="false" outlineLevel="0" collapsed="false">
      <c r="A74" s="4" t="s">
        <v>247</v>
      </c>
      <c r="B74" s="30" t="str">
        <f aca="false">Partidas!B15</f>
        <v>Prueba de intrusión externa (requisito RA-2)</v>
      </c>
      <c r="C74" s="9" t="n">
        <f aca="false">Partidas!G15</f>
        <v>7500</v>
      </c>
      <c r="D74" s="8" t="n">
        <f aca="false">Partidas!J15</f>
        <v>46339</v>
      </c>
      <c r="E74" s="8" t="n">
        <f aca="false">Partidas!K15</f>
        <v>46360</v>
      </c>
      <c r="F74" s="34" t="n">
        <f aca="false">IF(OR($E74&lt;F$31,$D74&gt;F$32),0,$C74*NETWORKDAYS(MAX($D74,F$31),MIN($E74,F$32),Feriados)/NETWORKDAYS($D74,$E74,Feriados))</f>
        <v>0</v>
      </c>
      <c r="G74" s="34" t="n">
        <f aca="false">IF(OR($E74&lt;G$31,$D74&gt;G$32),0,$C74*NETWORKDAYS(MAX($D74,G$31),MIN($E74,G$32),Feriados)/NETWORKDAYS($D74,$E74,Feriados))</f>
        <v>5500</v>
      </c>
      <c r="H74" s="34" t="n">
        <f aca="false">IF(OR($E74&lt;H$31,$D74&gt;H$32),0,$C74*NETWORKDAYS(MAX($D74,H$31),MIN($E74,H$32),Feriados)/NETWORKDAYS($D74,$E74,Feriados))</f>
        <v>2000</v>
      </c>
      <c r="I74" s="34" t="n">
        <f aca="false">IF(OR($E74&lt;I$31,$D74&gt;I$32),0,$C74*NETWORKDAYS(MAX($D74,I$31),MIN($E74,I$32),Feriados)/NETWORKDAYS($D74,$E74,Feriados))</f>
        <v>0</v>
      </c>
      <c r="J74" s="34" t="n">
        <f aca="false">IF(OR($E74&lt;J$31,$D74&gt;J$32),0,$C74*NETWORKDAYS(MAX($D74,J$31),MIN($E74,J$32),Feriados)/NETWORKDAYS($D74,$E74,Feriados))</f>
        <v>0</v>
      </c>
      <c r="K74" s="34" t="n">
        <f aca="false">IF(OR($E74&lt;K$31,$D74&gt;K$32),0,$C74*NETWORKDAYS(MAX($D74,K$31),MIN($E74,K$32),Feriados)/NETWORKDAYS($D74,$E74,Feriados))</f>
        <v>0</v>
      </c>
      <c r="L74" s="34" t="n">
        <f aca="false">IF(OR($E74&lt;L$31,$D74&gt;L$32),0,$C74*NETWORKDAYS(MAX($D74,L$31),MIN($E74,L$32),Feriados)/NETWORKDAYS($D74,$E74,Feriados))</f>
        <v>0</v>
      </c>
    </row>
    <row r="75" customFormat="false" ht="15" hidden="false" customHeight="false" outlineLevel="0" collapsed="false">
      <c r="A75" s="4" t="s">
        <v>250</v>
      </c>
      <c r="B75" s="30" t="str">
        <f aca="false">Partidas!B16</f>
        <v>Entornos sandbox de conectores (HRIS y Exchange)</v>
      </c>
      <c r="C75" s="9" t="n">
        <f aca="false">Partidas!G16</f>
        <v>2400</v>
      </c>
      <c r="D75" s="8" t="n">
        <f aca="false">Partidas!J16</f>
        <v>46309</v>
      </c>
      <c r="E75" s="8" t="n">
        <f aca="false">Partidas!K16</f>
        <v>46338</v>
      </c>
      <c r="F75" s="34" t="n">
        <f aca="false">IF(OR($E75&lt;F$31,$D75&gt;F$32),0,$C75*NETWORKDAYS(MAX($D75,F$31),MIN($E75,F$32),Feriados)/NETWORKDAYS($D75,$E75,Feriados))</f>
        <v>1418.18181818182</v>
      </c>
      <c r="G75" s="34" t="n">
        <f aca="false">IF(OR($E75&lt;G$31,$D75&gt;G$32),0,$C75*NETWORKDAYS(MAX($D75,G$31),MIN($E75,G$32),Feriados)/NETWORKDAYS($D75,$E75,Feriados))</f>
        <v>981.818181818182</v>
      </c>
      <c r="H75" s="34" t="n">
        <f aca="false">IF(OR($E75&lt;H$31,$D75&gt;H$32),0,$C75*NETWORKDAYS(MAX($D75,H$31),MIN($E75,H$32),Feriados)/NETWORKDAYS($D75,$E75,Feriados))</f>
        <v>0</v>
      </c>
      <c r="I75" s="34" t="n">
        <f aca="false">IF(OR($E75&lt;I$31,$D75&gt;I$32),0,$C75*NETWORKDAYS(MAX($D75,I$31),MIN($E75,I$32),Feriados)/NETWORKDAYS($D75,$E75,Feriados))</f>
        <v>0</v>
      </c>
      <c r="J75" s="34" t="n">
        <f aca="false">IF(OR($E75&lt;J$31,$D75&gt;J$32),0,$C75*NETWORKDAYS(MAX($D75,J$31),MIN($E75,J$32),Feriados)/NETWORKDAYS($D75,$E75,Feriados))</f>
        <v>0</v>
      </c>
      <c r="K75" s="34" t="n">
        <f aca="false">IF(OR($E75&lt;K$31,$D75&gt;K$32),0,$C75*NETWORKDAYS(MAX($D75,K$31),MIN($E75,K$32),Feriados)/NETWORKDAYS($D75,$E75,Feriados))</f>
        <v>0</v>
      </c>
      <c r="L75" s="34" t="n">
        <f aca="false">IF(OR($E75&lt;L$31,$D75&gt;L$32),0,$C75*NETWORKDAYS(MAX($D75,L$31),MIN($E75,L$32),Feriados)/NETWORKDAYS($D75,$E75,Feriados))</f>
        <v>0</v>
      </c>
    </row>
    <row r="76" customFormat="false" ht="15" hidden="false" customHeight="false" outlineLevel="0" collapsed="false">
      <c r="B76" s="7" t="s">
        <v>293</v>
      </c>
      <c r="C76" s="37" t="n">
        <f aca="false">SUM(C33:C75)</f>
        <v>372700</v>
      </c>
      <c r="F76" s="37" t="n">
        <f aca="false">SUM(F33:F75)</f>
        <v>158853.863636364</v>
      </c>
      <c r="G76" s="37" t="n">
        <f aca="false">SUM(G33:G75)</f>
        <v>75859.4055944056</v>
      </c>
      <c r="H76" s="37" t="n">
        <f aca="false">SUM(H33:H75)</f>
        <v>47604.5874125874</v>
      </c>
      <c r="I76" s="37" t="n">
        <f aca="false">SUM(I33:I75)</f>
        <v>14688.5874125874</v>
      </c>
      <c r="J76" s="37" t="n">
        <f aca="false">SUM(J33:J75)</f>
        <v>5546.32867132867</v>
      </c>
      <c r="K76" s="37" t="n">
        <f aca="false">SUM(K33:K75)</f>
        <v>26162.9510489511</v>
      </c>
      <c r="L76" s="37" t="n">
        <f aca="false">SUM(L33:L75)</f>
        <v>43984.2762237762</v>
      </c>
    </row>
    <row r="77" customFormat="false" ht="15" hidden="false" customHeight="false" outlineLevel="0" collapsed="false">
      <c r="B77" s="4" t="s">
        <v>294</v>
      </c>
      <c r="C77" s="34" t="n">
        <f aca="false">Contingencia</f>
        <v>22000</v>
      </c>
      <c r="F77" s="34" t="n">
        <f aca="false">Contingencia*F76/$C$76</f>
        <v>9376.93855647974</v>
      </c>
      <c r="G77" s="34" t="n">
        <f aca="false">Contingencia*G76/$C$76</f>
        <v>4477.88280943634</v>
      </c>
      <c r="H77" s="34" t="n">
        <f aca="false">Contingencia*H76/$C$76</f>
        <v>2810.03735733009</v>
      </c>
      <c r="I77" s="34" t="n">
        <f aca="false">Contingencia*I76/$C$76</f>
        <v>867.048358135023</v>
      </c>
      <c r="J77" s="34" t="n">
        <f aca="false">Contingencia*J76/$C$76</f>
        <v>327.392623475264</v>
      </c>
      <c r="K77" s="34" t="n">
        <f aca="false">Contingencia*K76/$C$76</f>
        <v>1544.36523497967</v>
      </c>
      <c r="L77" s="34" t="n">
        <f aca="false">Contingencia*L76/$C$76</f>
        <v>2596.33506016388</v>
      </c>
    </row>
    <row r="78" customFormat="false" ht="15" hidden="false" customHeight="false" outlineLevel="0" collapsed="false">
      <c r="B78" s="7" t="s">
        <v>295</v>
      </c>
      <c r="C78" s="37" t="n">
        <f aca="false">C76+C77</f>
        <v>394700</v>
      </c>
      <c r="F78" s="37" t="n">
        <f aca="false">F76+F77</f>
        <v>168230.802192843</v>
      </c>
      <c r="G78" s="37" t="n">
        <f aca="false">G76+G77</f>
        <v>80337.2884038419</v>
      </c>
      <c r="H78" s="37" t="n">
        <f aca="false">H76+H77</f>
        <v>50414.6247699175</v>
      </c>
      <c r="I78" s="37" t="n">
        <f aca="false">I76+I77</f>
        <v>15555.6357707224</v>
      </c>
      <c r="J78" s="37" t="n">
        <f aca="false">J76+J77</f>
        <v>5873.72129480394</v>
      </c>
      <c r="K78" s="37" t="n">
        <f aca="false">K76+K77</f>
        <v>27707.3162839307</v>
      </c>
      <c r="L78" s="37" t="n">
        <f aca="false">L76+L77</f>
        <v>46580.6112839401</v>
      </c>
    </row>
    <row r="79" customFormat="false" ht="15" hidden="false" customHeight="false" outlineLevel="0" collapsed="false">
      <c r="B79" s="7" t="s">
        <v>296</v>
      </c>
      <c r="F79" s="37" t="n">
        <f aca="false">F78</f>
        <v>168230.802192843</v>
      </c>
      <c r="G79" s="37" t="n">
        <f aca="false">F79+G78</f>
        <v>248568.090596685</v>
      </c>
      <c r="H79" s="37" t="n">
        <f aca="false">G79+H78</f>
        <v>298982.715366603</v>
      </c>
      <c r="I79" s="37" t="n">
        <f aca="false">H79+I78</f>
        <v>314538.351137325</v>
      </c>
      <c r="J79" s="37" t="n">
        <f aca="false">I79+J78</f>
        <v>320412.072432129</v>
      </c>
      <c r="K79" s="37" t="n">
        <f aca="false">J79+K78</f>
        <v>348119.38871606</v>
      </c>
      <c r="L79" s="37" t="n">
        <f aca="false">K79+L78</f>
        <v>394700</v>
      </c>
    </row>
    <row r="80" customFormat="false" ht="15" hidden="false" customHeight="false" outlineLevel="0" collapsed="false">
      <c r="B80" s="4" t="s">
        <v>297</v>
      </c>
      <c r="F80" s="40" t="n">
        <f aca="false">F79/$B$20</f>
        <v>0.426224479839988</v>
      </c>
      <c r="G80" s="40" t="n">
        <f aca="false">G79/$B$20</f>
        <v>0.62976460754164</v>
      </c>
      <c r="H80" s="40" t="n">
        <f aca="false">H79/$B$20</f>
        <v>0.757493578329371</v>
      </c>
      <c r="I80" s="40" t="n">
        <f aca="false">I79/$B$20</f>
        <v>0.796904867335509</v>
      </c>
      <c r="J80" s="40" t="n">
        <f aca="false">J79/$B$20</f>
        <v>0.811786350220748</v>
      </c>
      <c r="K80" s="40" t="n">
        <f aca="false">K79/$B$20</f>
        <v>0.881984769992551</v>
      </c>
      <c r="L80" s="40" t="n">
        <f aca="false">L79/$B$20</f>
        <v>1</v>
      </c>
    </row>
    <row r="81" customFormat="false" ht="15" hidden="false" customHeight="false" outlineLevel="0" collapsed="false">
      <c r="B81" s="4" t="s">
        <v>298</v>
      </c>
      <c r="C81" s="7" t="str">
        <f aca="false">IF(ABS(SUM(F78:L78)-B20)&lt;1,"OK","REVISAR")</f>
        <v>OK</v>
      </c>
    </row>
    <row r="82" customFormat="false" ht="15" hidden="false" customHeight="false" outlineLevel="0" collapsed="false">
      <c r="B82" s="4" t="s">
        <v>299</v>
      </c>
      <c r="C82" s="7" t="str">
        <f aca="false">IF(ABS(C76-B18)&lt;1,"OK","REVISAR")</f>
        <v>OK</v>
      </c>
    </row>
    <row r="84" customFormat="false" ht="15" hidden="false" customHeight="false" outlineLevel="0" collapsed="false">
      <c r="B84" s="2" t="s">
        <v>300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0"/>
    <col collapsed="false" customWidth="true" hidden="false" outlineLevel="0" max="3" min="3" style="0" width="22"/>
    <col collapsed="false" customWidth="true" hidden="false" outlineLevel="0" max="4" min="4" style="0" width="18"/>
  </cols>
  <sheetData>
    <row r="1" customFormat="false" ht="17.35" hidden="false" customHeight="false" outlineLevel="0" collapsed="false">
      <c r="A1" s="1" t="s">
        <v>301</v>
      </c>
    </row>
    <row r="3" customFormat="false" ht="15" hidden="false" customHeight="false" outlineLevel="0" collapsed="false">
      <c r="A3" s="3" t="s">
        <v>302</v>
      </c>
      <c r="B3" s="3" t="s">
        <v>295</v>
      </c>
      <c r="C3" s="3" t="s">
        <v>296</v>
      </c>
      <c r="D3" s="3" t="s">
        <v>303</v>
      </c>
    </row>
    <row r="4" customFormat="false" ht="15" hidden="false" customHeight="false" outlineLevel="0" collapsed="false">
      <c r="A4" s="44" t="n">
        <v>46296</v>
      </c>
      <c r="B4" s="9" t="n">
        <f aca="false">Presupuesto!F78</f>
        <v>168230.802192843</v>
      </c>
      <c r="C4" s="9" t="n">
        <f aca="false">Presupuesto!F79</f>
        <v>168230.802192843</v>
      </c>
      <c r="D4" s="10" t="n">
        <f aca="false">Presupuesto!F80</f>
        <v>0.426224479839988</v>
      </c>
    </row>
    <row r="5" customFormat="false" ht="15" hidden="false" customHeight="false" outlineLevel="0" collapsed="false">
      <c r="A5" s="44" t="n">
        <v>46327</v>
      </c>
      <c r="B5" s="9" t="n">
        <f aca="false">Presupuesto!G78</f>
        <v>80337.2884038419</v>
      </c>
      <c r="C5" s="9" t="n">
        <f aca="false">Presupuesto!G79</f>
        <v>248568.090596685</v>
      </c>
      <c r="D5" s="10" t="n">
        <f aca="false">Presupuesto!G80</f>
        <v>0.62976460754164</v>
      </c>
    </row>
    <row r="6" customFormat="false" ht="15" hidden="false" customHeight="false" outlineLevel="0" collapsed="false">
      <c r="A6" s="44" t="n">
        <v>46357</v>
      </c>
      <c r="B6" s="9" t="n">
        <f aca="false">Presupuesto!H78</f>
        <v>50414.6247699175</v>
      </c>
      <c r="C6" s="9" t="n">
        <f aca="false">Presupuesto!H79</f>
        <v>298982.715366603</v>
      </c>
      <c r="D6" s="10" t="n">
        <f aca="false">Presupuesto!H80</f>
        <v>0.757493578329371</v>
      </c>
    </row>
    <row r="7" customFormat="false" ht="15" hidden="false" customHeight="false" outlineLevel="0" collapsed="false">
      <c r="A7" s="44" t="n">
        <v>46388</v>
      </c>
      <c r="B7" s="9" t="n">
        <f aca="false">Presupuesto!I78</f>
        <v>15555.6357707224</v>
      </c>
      <c r="C7" s="9" t="n">
        <f aca="false">Presupuesto!I79</f>
        <v>314538.351137325</v>
      </c>
      <c r="D7" s="10" t="n">
        <f aca="false">Presupuesto!I80</f>
        <v>0.796904867335509</v>
      </c>
    </row>
    <row r="8" customFormat="false" ht="15" hidden="false" customHeight="false" outlineLevel="0" collapsed="false">
      <c r="A8" s="44" t="n">
        <v>46419</v>
      </c>
      <c r="B8" s="9" t="n">
        <f aca="false">Presupuesto!J78</f>
        <v>5873.72129480394</v>
      </c>
      <c r="C8" s="9" t="n">
        <f aca="false">Presupuesto!J79</f>
        <v>320412.072432129</v>
      </c>
      <c r="D8" s="10" t="n">
        <f aca="false">Presupuesto!J80</f>
        <v>0.811786350220748</v>
      </c>
    </row>
    <row r="9" customFormat="false" ht="15" hidden="false" customHeight="false" outlineLevel="0" collapsed="false">
      <c r="A9" s="44" t="n">
        <v>46447</v>
      </c>
      <c r="B9" s="9" t="n">
        <f aca="false">Presupuesto!K78</f>
        <v>27707.3162839307</v>
      </c>
      <c r="C9" s="9" t="n">
        <f aca="false">Presupuesto!K79</f>
        <v>348119.38871606</v>
      </c>
      <c r="D9" s="10" t="n">
        <f aca="false">Presupuesto!K80</f>
        <v>0.881984769992551</v>
      </c>
    </row>
    <row r="10" customFormat="false" ht="15" hidden="false" customHeight="false" outlineLevel="0" collapsed="false">
      <c r="A10" s="44" t="n">
        <v>46478</v>
      </c>
      <c r="B10" s="9" t="n">
        <f aca="false">Presupuesto!L78</f>
        <v>46580.6112839401</v>
      </c>
      <c r="C10" s="9" t="n">
        <f aca="false">Presupuesto!L79</f>
        <v>394700</v>
      </c>
      <c r="D10" s="10" t="n">
        <f aca="false">Presupuesto!L80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12"/>
  </cols>
  <sheetData>
    <row r="1" customFormat="false" ht="17.35" hidden="false" customHeight="false" outlineLevel="0" collapsed="false">
      <c r="A1" s="1" t="s">
        <v>304</v>
      </c>
    </row>
    <row r="2" customFormat="false" ht="15" hidden="false" customHeight="false" outlineLevel="0" collapsed="false">
      <c r="A2" s="2" t="s">
        <v>305</v>
      </c>
    </row>
    <row r="3" customFormat="false" ht="15" hidden="false" customHeight="false" outlineLevel="0" collapsed="false">
      <c r="A3" s="11" t="s">
        <v>306</v>
      </c>
      <c r="C3" s="45" t="n">
        <f aca="false">INDEX(Recursos!$E$5:$E$16,MATCH(C$4,Recursos!$A$5:$A$16,0))</f>
        <v>1</v>
      </c>
      <c r="D3" s="45" t="n">
        <f aca="false">INDEX(Recursos!$E$5:$E$16,MATCH(D$4,Recursos!$A$5:$A$16,0))</f>
        <v>1</v>
      </c>
      <c r="E3" s="45" t="n">
        <f aca="false">INDEX(Recursos!$E$5:$E$16,MATCH(E$4,Recursos!$A$5:$A$16,0))</f>
        <v>1</v>
      </c>
      <c r="F3" s="45" t="n">
        <f aca="false">INDEX(Recursos!$E$5:$E$16,MATCH(F$4,Recursos!$A$5:$A$16,0))</f>
        <v>2</v>
      </c>
      <c r="G3" s="45" t="n">
        <f aca="false">INDEX(Recursos!$E$5:$E$16,MATCH(G$4,Recursos!$A$5:$A$16,0))</f>
        <v>1</v>
      </c>
      <c r="H3" s="45" t="n">
        <f aca="false">INDEX(Recursos!$E$5:$E$16,MATCH(H$4,Recursos!$A$5:$A$16,0))</f>
        <v>2</v>
      </c>
      <c r="I3" s="45" t="n">
        <f aca="false">INDEX(Recursos!$E$5:$E$16,MATCH(I$4,Recursos!$A$5:$A$16,0))</f>
        <v>1</v>
      </c>
      <c r="J3" s="45" t="n">
        <f aca="false">INDEX(Recursos!$E$5:$E$16,MATCH(J$4,Recursos!$A$5:$A$16,0))</f>
        <v>1</v>
      </c>
      <c r="K3" s="45" t="n">
        <f aca="false">INDEX(Recursos!$E$5:$E$16,MATCH(K$4,Recursos!$A$5:$A$16,0))</f>
        <v>0.5</v>
      </c>
      <c r="L3" s="45" t="n">
        <f aca="false">INDEX(Recursos!$E$5:$E$16,MATCH(L$4,Recursos!$A$5:$A$16,0))</f>
        <v>0.5</v>
      </c>
      <c r="M3" s="45" t="n">
        <f aca="false">INDEX(Recursos!$E$5:$E$16,MATCH(M$4,Recursos!$A$5:$A$16,0))</f>
        <v>0.5</v>
      </c>
      <c r="N3" s="46" t="n">
        <f aca="false">INDEX(Recursos!$E$5:$E$16,MATCH(N$4,Recursos!$A$5:$A$16,0))</f>
        <v>99</v>
      </c>
    </row>
    <row r="4" customFormat="false" ht="15" hidden="false" customHeight="false" outlineLevel="0" collapsed="false">
      <c r="A4" s="3" t="s">
        <v>307</v>
      </c>
      <c r="B4" s="3" t="s">
        <v>308</v>
      </c>
      <c r="C4" s="3" t="s">
        <v>88</v>
      </c>
      <c r="D4" s="3" t="s">
        <v>105</v>
      </c>
      <c r="E4" s="3" t="s">
        <v>196</v>
      </c>
      <c r="F4" s="3" t="s">
        <v>195</v>
      </c>
      <c r="G4" s="3" t="s">
        <v>138</v>
      </c>
      <c r="H4" s="3" t="s">
        <v>197</v>
      </c>
      <c r="I4" s="3" t="s">
        <v>194</v>
      </c>
      <c r="J4" s="3" t="s">
        <v>199</v>
      </c>
      <c r="K4" s="3" t="s">
        <v>198</v>
      </c>
      <c r="L4" s="3" t="s">
        <v>193</v>
      </c>
      <c r="M4" s="3" t="s">
        <v>192</v>
      </c>
      <c r="N4" s="3" t="s">
        <v>200</v>
      </c>
    </row>
    <row r="5" customFormat="false" ht="15" hidden="false" customHeight="false" outlineLevel="0" collapsed="false">
      <c r="A5" s="26" t="n">
        <v>0</v>
      </c>
      <c r="B5" s="47" t="n">
        <f aca="false">INDEX(Calendario!$B$3:$B$172,A5+1)</f>
        <v>46296</v>
      </c>
      <c r="C5" s="48" t="n">
        <f aca="false">SUMPRODUCT((Costos!$C$5:$C$88=C$4)*Costos!$E$5:$E$88*(Costos!$K$5:$K$88&lt;=$A5)*(Costos!$L$5:$L$88&gt;$A5))</f>
        <v>1</v>
      </c>
      <c r="D5" s="48" t="n">
        <f aca="false">SUMPRODUCT((Costos!$C$5:$C$88=D$4)*Costos!$E$5:$E$88*(Costos!$K$5:$K$88&lt;=$A5)*(Costos!$L$5:$L$88&gt;$A5))</f>
        <v>0</v>
      </c>
      <c r="E5" s="48" t="n">
        <f aca="false">SUMPRODUCT((Costos!$C$5:$C$88=E$4)*Costos!$E$5:$E$88*(Costos!$K$5:$K$88&lt;=$A5)*(Costos!$L$5:$L$88&gt;$A5))</f>
        <v>0</v>
      </c>
      <c r="F5" s="48" t="n">
        <f aca="false">SUMPRODUCT((Costos!$C$5:$C$88=F$4)*Costos!$E$5:$E$88*(Costos!$K$5:$K$88&lt;=$A5)*(Costos!$L$5:$L$88&gt;$A5))</f>
        <v>0</v>
      </c>
      <c r="G5" s="48" t="n">
        <f aca="false">SUMPRODUCT((Costos!$C$5:$C$88=G$4)*Costos!$E$5:$E$88*(Costos!$K$5:$K$88&lt;=$A5)*(Costos!$L$5:$L$88&gt;$A5))</f>
        <v>0</v>
      </c>
      <c r="H5" s="48" t="n">
        <f aca="false">SUMPRODUCT((Costos!$C$5:$C$88=H$4)*Costos!$E$5:$E$88*(Costos!$K$5:$K$88&lt;=$A5)*(Costos!$L$5:$L$88&gt;$A5))</f>
        <v>0</v>
      </c>
      <c r="I5" s="48" t="n">
        <f aca="false">SUMPRODUCT((Costos!$C$5:$C$88=I$4)*Costos!$E$5:$E$88*(Costos!$K$5:$K$88&lt;=$A5)*(Costos!$L$5:$L$88&gt;$A5))</f>
        <v>0</v>
      </c>
      <c r="J5" s="48" t="n">
        <f aca="false">SUMPRODUCT((Costos!$C$5:$C$88=J$4)*Costos!$E$5:$E$88*(Costos!$K$5:$K$88&lt;=$A5)*(Costos!$L$5:$L$88&gt;$A5))</f>
        <v>0</v>
      </c>
      <c r="K5" s="48" t="n">
        <f aca="false">SUMPRODUCT((Costos!$C$5:$C$88=K$4)*Costos!$E$5:$E$88*(Costos!$K$5:$K$88&lt;=$A5)*(Costos!$L$5:$L$88&gt;$A5))</f>
        <v>0</v>
      </c>
      <c r="L5" s="48" t="n">
        <f aca="false">SUMPRODUCT((Costos!$C$5:$C$88=L$4)*Costos!$E$5:$E$88*(Costos!$K$5:$K$88&lt;=$A5)*(Costos!$L$5:$L$88&gt;$A5))</f>
        <v>0</v>
      </c>
      <c r="M5" s="48" t="n">
        <f aca="false">SUMPRODUCT((Costos!$C$5:$C$88=M$4)*Costos!$E$5:$E$88*(Costos!$K$5:$K$88&lt;=$A5)*(Costos!$L$5:$L$88&gt;$A5))</f>
        <v>0</v>
      </c>
      <c r="N5" s="48" t="n">
        <f aca="false">SUMPRODUCT((Costos!$C$5:$C$88=N$4)*Costos!$E$5:$E$88*(Costos!$K$5:$K$88&lt;=$A5)*(Costos!$L$5:$L$88&gt;$A5))</f>
        <v>0</v>
      </c>
    </row>
    <row r="6" customFormat="false" ht="15" hidden="false" customHeight="false" outlineLevel="0" collapsed="false">
      <c r="A6" s="26" t="n">
        <v>1</v>
      </c>
      <c r="B6" s="47" t="n">
        <f aca="false">INDEX(Calendario!$B$3:$B$172,A6+1)</f>
        <v>46297</v>
      </c>
      <c r="C6" s="48" t="n">
        <f aca="false">SUMPRODUCT((Costos!$C$5:$C$88=C$4)*Costos!$E$5:$E$88*(Costos!$K$5:$K$88&lt;=$A6)*(Costos!$L$5:$L$88&gt;$A6))</f>
        <v>1</v>
      </c>
      <c r="D6" s="48" t="n">
        <f aca="false">SUMPRODUCT((Costos!$C$5:$C$88=D$4)*Costos!$E$5:$E$88*(Costos!$K$5:$K$88&lt;=$A6)*(Costos!$L$5:$L$88&gt;$A6))</f>
        <v>0</v>
      </c>
      <c r="E6" s="48" t="n">
        <f aca="false">SUMPRODUCT((Costos!$C$5:$C$88=E$4)*Costos!$E$5:$E$88*(Costos!$K$5:$K$88&lt;=$A6)*(Costos!$L$5:$L$88&gt;$A6))</f>
        <v>0</v>
      </c>
      <c r="F6" s="48" t="n">
        <f aca="false">SUMPRODUCT((Costos!$C$5:$C$88=F$4)*Costos!$E$5:$E$88*(Costos!$K$5:$K$88&lt;=$A6)*(Costos!$L$5:$L$88&gt;$A6))</f>
        <v>0</v>
      </c>
      <c r="G6" s="48" t="n">
        <f aca="false">SUMPRODUCT((Costos!$C$5:$C$88=G$4)*Costos!$E$5:$E$88*(Costos!$K$5:$K$88&lt;=$A6)*(Costos!$L$5:$L$88&gt;$A6))</f>
        <v>0</v>
      </c>
      <c r="H6" s="48" t="n">
        <f aca="false">SUMPRODUCT((Costos!$C$5:$C$88=H$4)*Costos!$E$5:$E$88*(Costos!$K$5:$K$88&lt;=$A6)*(Costos!$L$5:$L$88&gt;$A6))</f>
        <v>0</v>
      </c>
      <c r="I6" s="48" t="n">
        <f aca="false">SUMPRODUCT((Costos!$C$5:$C$88=I$4)*Costos!$E$5:$E$88*(Costos!$K$5:$K$88&lt;=$A6)*(Costos!$L$5:$L$88&gt;$A6))</f>
        <v>0</v>
      </c>
      <c r="J6" s="48" t="n">
        <f aca="false">SUMPRODUCT((Costos!$C$5:$C$88=J$4)*Costos!$E$5:$E$88*(Costos!$K$5:$K$88&lt;=$A6)*(Costos!$L$5:$L$88&gt;$A6))</f>
        <v>0</v>
      </c>
      <c r="K6" s="48" t="n">
        <f aca="false">SUMPRODUCT((Costos!$C$5:$C$88=K$4)*Costos!$E$5:$E$88*(Costos!$K$5:$K$88&lt;=$A6)*(Costos!$L$5:$L$88&gt;$A6))</f>
        <v>0</v>
      </c>
      <c r="L6" s="48" t="n">
        <f aca="false">SUMPRODUCT((Costos!$C$5:$C$88=L$4)*Costos!$E$5:$E$88*(Costos!$K$5:$K$88&lt;=$A6)*(Costos!$L$5:$L$88&gt;$A6))</f>
        <v>0</v>
      </c>
      <c r="M6" s="48" t="n">
        <f aca="false">SUMPRODUCT((Costos!$C$5:$C$88=M$4)*Costos!$E$5:$E$88*(Costos!$K$5:$K$88&lt;=$A6)*(Costos!$L$5:$L$88&gt;$A6))</f>
        <v>0</v>
      </c>
      <c r="N6" s="48" t="n">
        <f aca="false">SUMPRODUCT((Costos!$C$5:$C$88=N$4)*Costos!$E$5:$E$88*(Costos!$K$5:$K$88&lt;=$A6)*(Costos!$L$5:$L$88&gt;$A6))</f>
        <v>0</v>
      </c>
    </row>
    <row r="7" customFormat="false" ht="15" hidden="false" customHeight="false" outlineLevel="0" collapsed="false">
      <c r="A7" s="26" t="n">
        <v>2</v>
      </c>
      <c r="B7" s="47" t="n">
        <f aca="false">INDEX(Calendario!$B$3:$B$172,A7+1)</f>
        <v>46300</v>
      </c>
      <c r="C7" s="48" t="n">
        <f aca="false">SUMPRODUCT((Costos!$C$5:$C$88=C$4)*Costos!$E$5:$E$88*(Costos!$K$5:$K$88&lt;=$A7)*(Costos!$L$5:$L$88&gt;$A7))</f>
        <v>1</v>
      </c>
      <c r="D7" s="48" t="n">
        <f aca="false">SUMPRODUCT((Costos!$C$5:$C$88=D$4)*Costos!$E$5:$E$88*(Costos!$K$5:$K$88&lt;=$A7)*(Costos!$L$5:$L$88&gt;$A7))</f>
        <v>0.2</v>
      </c>
      <c r="E7" s="48" t="n">
        <f aca="false">SUMPRODUCT((Costos!$C$5:$C$88=E$4)*Costos!$E$5:$E$88*(Costos!$K$5:$K$88&lt;=$A7)*(Costos!$L$5:$L$88&gt;$A7))</f>
        <v>0</v>
      </c>
      <c r="F7" s="48" t="n">
        <f aca="false">SUMPRODUCT((Costos!$C$5:$C$88=F$4)*Costos!$E$5:$E$88*(Costos!$K$5:$K$88&lt;=$A7)*(Costos!$L$5:$L$88&gt;$A7))</f>
        <v>0</v>
      </c>
      <c r="G7" s="48" t="n">
        <f aca="false">SUMPRODUCT((Costos!$C$5:$C$88=G$4)*Costos!$E$5:$E$88*(Costos!$K$5:$K$88&lt;=$A7)*(Costos!$L$5:$L$88&gt;$A7))</f>
        <v>0</v>
      </c>
      <c r="H7" s="48" t="n">
        <f aca="false">SUMPRODUCT((Costos!$C$5:$C$88=H$4)*Costos!$E$5:$E$88*(Costos!$K$5:$K$88&lt;=$A7)*(Costos!$L$5:$L$88&gt;$A7))</f>
        <v>0</v>
      </c>
      <c r="I7" s="48" t="n">
        <f aca="false">SUMPRODUCT((Costos!$C$5:$C$88=I$4)*Costos!$E$5:$E$88*(Costos!$K$5:$K$88&lt;=$A7)*(Costos!$L$5:$L$88&gt;$A7))</f>
        <v>0</v>
      </c>
      <c r="J7" s="48" t="n">
        <f aca="false">SUMPRODUCT((Costos!$C$5:$C$88=J$4)*Costos!$E$5:$E$88*(Costos!$K$5:$K$88&lt;=$A7)*(Costos!$L$5:$L$88&gt;$A7))</f>
        <v>0</v>
      </c>
      <c r="K7" s="48" t="n">
        <f aca="false">SUMPRODUCT((Costos!$C$5:$C$88=K$4)*Costos!$E$5:$E$88*(Costos!$K$5:$K$88&lt;=$A7)*(Costos!$L$5:$L$88&gt;$A7))</f>
        <v>0</v>
      </c>
      <c r="L7" s="48" t="n">
        <f aca="false">SUMPRODUCT((Costos!$C$5:$C$88=L$4)*Costos!$E$5:$E$88*(Costos!$K$5:$K$88&lt;=$A7)*(Costos!$L$5:$L$88&gt;$A7))</f>
        <v>0</v>
      </c>
      <c r="M7" s="48" t="n">
        <f aca="false">SUMPRODUCT((Costos!$C$5:$C$88=M$4)*Costos!$E$5:$E$88*(Costos!$K$5:$K$88&lt;=$A7)*(Costos!$L$5:$L$88&gt;$A7))</f>
        <v>0.1</v>
      </c>
      <c r="N7" s="48" t="n">
        <f aca="false">SUMPRODUCT((Costos!$C$5:$C$88=N$4)*Costos!$E$5:$E$88*(Costos!$K$5:$K$88&lt;=$A7)*(Costos!$L$5:$L$88&gt;$A7))</f>
        <v>0</v>
      </c>
    </row>
    <row r="8" customFormat="false" ht="15" hidden="false" customHeight="false" outlineLevel="0" collapsed="false">
      <c r="A8" s="26" t="n">
        <v>3</v>
      </c>
      <c r="B8" s="47" t="n">
        <f aca="false">INDEX(Calendario!$B$3:$B$172,A8+1)</f>
        <v>46301</v>
      </c>
      <c r="C8" s="48" t="n">
        <f aca="false">SUMPRODUCT((Costos!$C$5:$C$88=C$4)*Costos!$E$5:$E$88*(Costos!$K$5:$K$88&lt;=$A8)*(Costos!$L$5:$L$88&gt;$A8))</f>
        <v>1</v>
      </c>
      <c r="D8" s="48" t="n">
        <f aca="false">SUMPRODUCT((Costos!$C$5:$C$88=D$4)*Costos!$E$5:$E$88*(Costos!$K$5:$K$88&lt;=$A8)*(Costos!$L$5:$L$88&gt;$A8))</f>
        <v>0.2</v>
      </c>
      <c r="E8" s="48" t="n">
        <f aca="false">SUMPRODUCT((Costos!$C$5:$C$88=E$4)*Costos!$E$5:$E$88*(Costos!$K$5:$K$88&lt;=$A8)*(Costos!$L$5:$L$88&gt;$A8))</f>
        <v>0</v>
      </c>
      <c r="F8" s="48" t="n">
        <f aca="false">SUMPRODUCT((Costos!$C$5:$C$88=F$4)*Costos!$E$5:$E$88*(Costos!$K$5:$K$88&lt;=$A8)*(Costos!$L$5:$L$88&gt;$A8))</f>
        <v>0</v>
      </c>
      <c r="G8" s="48" t="n">
        <f aca="false">SUMPRODUCT((Costos!$C$5:$C$88=G$4)*Costos!$E$5:$E$88*(Costos!$K$5:$K$88&lt;=$A8)*(Costos!$L$5:$L$88&gt;$A8))</f>
        <v>0</v>
      </c>
      <c r="H8" s="48" t="n">
        <f aca="false">SUMPRODUCT((Costos!$C$5:$C$88=H$4)*Costos!$E$5:$E$88*(Costos!$K$5:$K$88&lt;=$A8)*(Costos!$L$5:$L$88&gt;$A8))</f>
        <v>0</v>
      </c>
      <c r="I8" s="48" t="n">
        <f aca="false">SUMPRODUCT((Costos!$C$5:$C$88=I$4)*Costos!$E$5:$E$88*(Costos!$K$5:$K$88&lt;=$A8)*(Costos!$L$5:$L$88&gt;$A8))</f>
        <v>0</v>
      </c>
      <c r="J8" s="48" t="n">
        <f aca="false">SUMPRODUCT((Costos!$C$5:$C$88=J$4)*Costos!$E$5:$E$88*(Costos!$K$5:$K$88&lt;=$A8)*(Costos!$L$5:$L$88&gt;$A8))</f>
        <v>0</v>
      </c>
      <c r="K8" s="48" t="n">
        <f aca="false">SUMPRODUCT((Costos!$C$5:$C$88=K$4)*Costos!$E$5:$E$88*(Costos!$K$5:$K$88&lt;=$A8)*(Costos!$L$5:$L$88&gt;$A8))</f>
        <v>0</v>
      </c>
      <c r="L8" s="48" t="n">
        <f aca="false">SUMPRODUCT((Costos!$C$5:$C$88=L$4)*Costos!$E$5:$E$88*(Costos!$K$5:$K$88&lt;=$A8)*(Costos!$L$5:$L$88&gt;$A8))</f>
        <v>0</v>
      </c>
      <c r="M8" s="48" t="n">
        <f aca="false">SUMPRODUCT((Costos!$C$5:$C$88=M$4)*Costos!$E$5:$E$88*(Costos!$K$5:$K$88&lt;=$A8)*(Costos!$L$5:$L$88&gt;$A8))</f>
        <v>0.1</v>
      </c>
      <c r="N8" s="48" t="n">
        <f aca="false">SUMPRODUCT((Costos!$C$5:$C$88=N$4)*Costos!$E$5:$E$88*(Costos!$K$5:$K$88&lt;=$A8)*(Costos!$L$5:$L$88&gt;$A8))</f>
        <v>0</v>
      </c>
    </row>
    <row r="9" customFormat="false" ht="15" hidden="false" customHeight="false" outlineLevel="0" collapsed="false">
      <c r="A9" s="26" t="n">
        <v>4</v>
      </c>
      <c r="B9" s="47" t="n">
        <f aca="false">INDEX(Calendario!$B$3:$B$172,A9+1)</f>
        <v>46302</v>
      </c>
      <c r="C9" s="48" t="n">
        <f aca="false">SUMPRODUCT((Costos!$C$5:$C$88=C$4)*Costos!$E$5:$E$88*(Costos!$K$5:$K$88&lt;=$A9)*(Costos!$L$5:$L$88&gt;$A9))</f>
        <v>1</v>
      </c>
      <c r="D9" s="48" t="n">
        <f aca="false">SUMPRODUCT((Costos!$C$5:$C$88=D$4)*Costos!$E$5:$E$88*(Costos!$K$5:$K$88&lt;=$A9)*(Costos!$L$5:$L$88&gt;$A9))</f>
        <v>0.2</v>
      </c>
      <c r="E9" s="48" t="n">
        <f aca="false">SUMPRODUCT((Costos!$C$5:$C$88=E$4)*Costos!$E$5:$E$88*(Costos!$K$5:$K$88&lt;=$A9)*(Costos!$L$5:$L$88&gt;$A9))</f>
        <v>0</v>
      </c>
      <c r="F9" s="48" t="n">
        <f aca="false">SUMPRODUCT((Costos!$C$5:$C$88=F$4)*Costos!$E$5:$E$88*(Costos!$K$5:$K$88&lt;=$A9)*(Costos!$L$5:$L$88&gt;$A9))</f>
        <v>0</v>
      </c>
      <c r="G9" s="48" t="n">
        <f aca="false">SUMPRODUCT((Costos!$C$5:$C$88=G$4)*Costos!$E$5:$E$88*(Costos!$K$5:$K$88&lt;=$A9)*(Costos!$L$5:$L$88&gt;$A9))</f>
        <v>0</v>
      </c>
      <c r="H9" s="48" t="n">
        <f aca="false">SUMPRODUCT((Costos!$C$5:$C$88=H$4)*Costos!$E$5:$E$88*(Costos!$K$5:$K$88&lt;=$A9)*(Costos!$L$5:$L$88&gt;$A9))</f>
        <v>0</v>
      </c>
      <c r="I9" s="48" t="n">
        <f aca="false">SUMPRODUCT((Costos!$C$5:$C$88=I$4)*Costos!$E$5:$E$88*(Costos!$K$5:$K$88&lt;=$A9)*(Costos!$L$5:$L$88&gt;$A9))</f>
        <v>0</v>
      </c>
      <c r="J9" s="48" t="n">
        <f aca="false">SUMPRODUCT((Costos!$C$5:$C$88=J$4)*Costos!$E$5:$E$88*(Costos!$K$5:$K$88&lt;=$A9)*(Costos!$L$5:$L$88&gt;$A9))</f>
        <v>0</v>
      </c>
      <c r="K9" s="48" t="n">
        <f aca="false">SUMPRODUCT((Costos!$C$5:$C$88=K$4)*Costos!$E$5:$E$88*(Costos!$K$5:$K$88&lt;=$A9)*(Costos!$L$5:$L$88&gt;$A9))</f>
        <v>0</v>
      </c>
      <c r="L9" s="48" t="n">
        <f aca="false">SUMPRODUCT((Costos!$C$5:$C$88=L$4)*Costos!$E$5:$E$88*(Costos!$K$5:$K$88&lt;=$A9)*(Costos!$L$5:$L$88&gt;$A9))</f>
        <v>0</v>
      </c>
      <c r="M9" s="48" t="n">
        <f aca="false">SUMPRODUCT((Costos!$C$5:$C$88=M$4)*Costos!$E$5:$E$88*(Costos!$K$5:$K$88&lt;=$A9)*(Costos!$L$5:$L$88&gt;$A9))</f>
        <v>0.1</v>
      </c>
      <c r="N9" s="48" t="n">
        <f aca="false">SUMPRODUCT((Costos!$C$5:$C$88=N$4)*Costos!$E$5:$E$88*(Costos!$K$5:$K$88&lt;=$A9)*(Costos!$L$5:$L$88&gt;$A9))</f>
        <v>0</v>
      </c>
    </row>
    <row r="10" customFormat="false" ht="15" hidden="false" customHeight="false" outlineLevel="0" collapsed="false">
      <c r="A10" s="26" t="n">
        <v>5</v>
      </c>
      <c r="B10" s="47" t="n">
        <f aca="false">INDEX(Calendario!$B$3:$B$172,A10+1)</f>
        <v>46303</v>
      </c>
      <c r="C10" s="48" t="n">
        <f aca="false">SUMPRODUCT((Costos!$C$5:$C$88=C$4)*Costos!$E$5:$E$88*(Costos!$K$5:$K$88&lt;=$A10)*(Costos!$L$5:$L$88&gt;$A10))</f>
        <v>1</v>
      </c>
      <c r="D10" s="48" t="n">
        <f aca="false">SUMPRODUCT((Costos!$C$5:$C$88=D$4)*Costos!$E$5:$E$88*(Costos!$K$5:$K$88&lt;=$A10)*(Costos!$L$5:$L$88&gt;$A10))</f>
        <v>0.2</v>
      </c>
      <c r="E10" s="48" t="n">
        <f aca="false">SUMPRODUCT((Costos!$C$5:$C$88=E$4)*Costos!$E$5:$E$88*(Costos!$K$5:$K$88&lt;=$A10)*(Costos!$L$5:$L$88&gt;$A10))</f>
        <v>0</v>
      </c>
      <c r="F10" s="48" t="n">
        <f aca="false">SUMPRODUCT((Costos!$C$5:$C$88=F$4)*Costos!$E$5:$E$88*(Costos!$K$5:$K$88&lt;=$A10)*(Costos!$L$5:$L$88&gt;$A10))</f>
        <v>0</v>
      </c>
      <c r="G10" s="48" t="n">
        <f aca="false">SUMPRODUCT((Costos!$C$5:$C$88=G$4)*Costos!$E$5:$E$88*(Costos!$K$5:$K$88&lt;=$A10)*(Costos!$L$5:$L$88&gt;$A10))</f>
        <v>0</v>
      </c>
      <c r="H10" s="48" t="n">
        <f aca="false">SUMPRODUCT((Costos!$C$5:$C$88=H$4)*Costos!$E$5:$E$88*(Costos!$K$5:$K$88&lt;=$A10)*(Costos!$L$5:$L$88&gt;$A10))</f>
        <v>0</v>
      </c>
      <c r="I10" s="48" t="n">
        <f aca="false">SUMPRODUCT((Costos!$C$5:$C$88=I$4)*Costos!$E$5:$E$88*(Costos!$K$5:$K$88&lt;=$A10)*(Costos!$L$5:$L$88&gt;$A10))</f>
        <v>0</v>
      </c>
      <c r="J10" s="48" t="n">
        <f aca="false">SUMPRODUCT((Costos!$C$5:$C$88=J$4)*Costos!$E$5:$E$88*(Costos!$K$5:$K$88&lt;=$A10)*(Costos!$L$5:$L$88&gt;$A10))</f>
        <v>0</v>
      </c>
      <c r="K10" s="48" t="n">
        <f aca="false">SUMPRODUCT((Costos!$C$5:$C$88=K$4)*Costos!$E$5:$E$88*(Costos!$K$5:$K$88&lt;=$A10)*(Costos!$L$5:$L$88&gt;$A10))</f>
        <v>0</v>
      </c>
      <c r="L10" s="48" t="n">
        <f aca="false">SUMPRODUCT((Costos!$C$5:$C$88=L$4)*Costos!$E$5:$E$88*(Costos!$K$5:$K$88&lt;=$A10)*(Costos!$L$5:$L$88&gt;$A10))</f>
        <v>0</v>
      </c>
      <c r="M10" s="48" t="n">
        <f aca="false">SUMPRODUCT((Costos!$C$5:$C$88=M$4)*Costos!$E$5:$E$88*(Costos!$K$5:$K$88&lt;=$A10)*(Costos!$L$5:$L$88&gt;$A10))</f>
        <v>0.1</v>
      </c>
      <c r="N10" s="48" t="n">
        <f aca="false">SUMPRODUCT((Costos!$C$5:$C$88=N$4)*Costos!$E$5:$E$88*(Costos!$K$5:$K$88&lt;=$A10)*(Costos!$L$5:$L$88&gt;$A10))</f>
        <v>0</v>
      </c>
    </row>
    <row r="11" customFormat="false" ht="15" hidden="false" customHeight="false" outlineLevel="0" collapsed="false">
      <c r="A11" s="26" t="n">
        <v>6</v>
      </c>
      <c r="B11" s="47" t="n">
        <f aca="false">INDEX(Calendario!$B$3:$B$172,A11+1)</f>
        <v>46304</v>
      </c>
      <c r="C11" s="48" t="n">
        <f aca="false">SUMPRODUCT((Costos!$C$5:$C$88=C$4)*Costos!$E$5:$E$88*(Costos!$K$5:$K$88&lt;=$A11)*(Costos!$L$5:$L$88&gt;$A11))</f>
        <v>1</v>
      </c>
      <c r="D11" s="48" t="n">
        <f aca="false">SUMPRODUCT((Costos!$C$5:$C$88=D$4)*Costos!$E$5:$E$88*(Costos!$K$5:$K$88&lt;=$A11)*(Costos!$L$5:$L$88&gt;$A11))</f>
        <v>0.2</v>
      </c>
      <c r="E11" s="48" t="n">
        <f aca="false">SUMPRODUCT((Costos!$C$5:$C$88=E$4)*Costos!$E$5:$E$88*(Costos!$K$5:$K$88&lt;=$A11)*(Costos!$L$5:$L$88&gt;$A11))</f>
        <v>0</v>
      </c>
      <c r="F11" s="48" t="n">
        <f aca="false">SUMPRODUCT((Costos!$C$5:$C$88=F$4)*Costos!$E$5:$E$88*(Costos!$K$5:$K$88&lt;=$A11)*(Costos!$L$5:$L$88&gt;$A11))</f>
        <v>0</v>
      </c>
      <c r="G11" s="48" t="n">
        <f aca="false">SUMPRODUCT((Costos!$C$5:$C$88=G$4)*Costos!$E$5:$E$88*(Costos!$K$5:$K$88&lt;=$A11)*(Costos!$L$5:$L$88&gt;$A11))</f>
        <v>0</v>
      </c>
      <c r="H11" s="48" t="n">
        <f aca="false">SUMPRODUCT((Costos!$C$5:$C$88=H$4)*Costos!$E$5:$E$88*(Costos!$K$5:$K$88&lt;=$A11)*(Costos!$L$5:$L$88&gt;$A11))</f>
        <v>0</v>
      </c>
      <c r="I11" s="48" t="n">
        <f aca="false">SUMPRODUCT((Costos!$C$5:$C$88=I$4)*Costos!$E$5:$E$88*(Costos!$K$5:$K$88&lt;=$A11)*(Costos!$L$5:$L$88&gt;$A11))</f>
        <v>0</v>
      </c>
      <c r="J11" s="48" t="n">
        <f aca="false">SUMPRODUCT((Costos!$C$5:$C$88=J$4)*Costos!$E$5:$E$88*(Costos!$K$5:$K$88&lt;=$A11)*(Costos!$L$5:$L$88&gt;$A11))</f>
        <v>0</v>
      </c>
      <c r="K11" s="48" t="n">
        <f aca="false">SUMPRODUCT((Costos!$C$5:$C$88=K$4)*Costos!$E$5:$E$88*(Costos!$K$5:$K$88&lt;=$A11)*(Costos!$L$5:$L$88&gt;$A11))</f>
        <v>0</v>
      </c>
      <c r="L11" s="48" t="n">
        <f aca="false">SUMPRODUCT((Costos!$C$5:$C$88=L$4)*Costos!$E$5:$E$88*(Costos!$K$5:$K$88&lt;=$A11)*(Costos!$L$5:$L$88&gt;$A11))</f>
        <v>0</v>
      </c>
      <c r="M11" s="48" t="n">
        <f aca="false">SUMPRODUCT((Costos!$C$5:$C$88=M$4)*Costos!$E$5:$E$88*(Costos!$K$5:$K$88&lt;=$A11)*(Costos!$L$5:$L$88&gt;$A11))</f>
        <v>0.1</v>
      </c>
      <c r="N11" s="48" t="n">
        <f aca="false">SUMPRODUCT((Costos!$C$5:$C$88=N$4)*Costos!$E$5:$E$88*(Costos!$K$5:$K$88&lt;=$A11)*(Costos!$L$5:$L$88&gt;$A11))</f>
        <v>0</v>
      </c>
    </row>
    <row r="12" customFormat="false" ht="15" hidden="false" customHeight="false" outlineLevel="0" collapsed="false">
      <c r="A12" s="26" t="n">
        <v>7</v>
      </c>
      <c r="B12" s="47" t="n">
        <f aca="false">INDEX(Calendario!$B$3:$B$172,A12+1)</f>
        <v>46308</v>
      </c>
      <c r="C12" s="48" t="n">
        <f aca="false">SUMPRODUCT((Costos!$C$5:$C$88=C$4)*Costos!$E$5:$E$88*(Costos!$K$5:$K$88&lt;=$A12)*(Costos!$L$5:$L$88&gt;$A12))</f>
        <v>0.8</v>
      </c>
      <c r="D12" s="48" t="n">
        <f aca="false">SUMPRODUCT((Costos!$C$5:$C$88=D$4)*Costos!$E$5:$E$88*(Costos!$K$5:$K$88&lt;=$A12)*(Costos!$L$5:$L$88&gt;$A12))</f>
        <v>0.2</v>
      </c>
      <c r="E12" s="48" t="n">
        <f aca="false">SUMPRODUCT((Costos!$C$5:$C$88=E$4)*Costos!$E$5:$E$88*(Costos!$K$5:$K$88&lt;=$A12)*(Costos!$L$5:$L$88&gt;$A12))</f>
        <v>0</v>
      </c>
      <c r="F12" s="48" t="n">
        <f aca="false">SUMPRODUCT((Costos!$C$5:$C$88=F$4)*Costos!$E$5:$E$88*(Costos!$K$5:$K$88&lt;=$A12)*(Costos!$L$5:$L$88&gt;$A12))</f>
        <v>0</v>
      </c>
      <c r="G12" s="48" t="n">
        <f aca="false">SUMPRODUCT((Costos!$C$5:$C$88=G$4)*Costos!$E$5:$E$88*(Costos!$K$5:$K$88&lt;=$A12)*(Costos!$L$5:$L$88&gt;$A12))</f>
        <v>0</v>
      </c>
      <c r="H12" s="48" t="n">
        <f aca="false">SUMPRODUCT((Costos!$C$5:$C$88=H$4)*Costos!$E$5:$E$88*(Costos!$K$5:$K$88&lt;=$A12)*(Costos!$L$5:$L$88&gt;$A12))</f>
        <v>0</v>
      </c>
      <c r="I12" s="48" t="n">
        <f aca="false">SUMPRODUCT((Costos!$C$5:$C$88=I$4)*Costos!$E$5:$E$88*(Costos!$K$5:$K$88&lt;=$A12)*(Costos!$L$5:$L$88&gt;$A12))</f>
        <v>0</v>
      </c>
      <c r="J12" s="48" t="n">
        <f aca="false">SUMPRODUCT((Costos!$C$5:$C$88=J$4)*Costos!$E$5:$E$88*(Costos!$K$5:$K$88&lt;=$A12)*(Costos!$L$5:$L$88&gt;$A12))</f>
        <v>1</v>
      </c>
      <c r="K12" s="48" t="n">
        <f aca="false">SUMPRODUCT((Costos!$C$5:$C$88=K$4)*Costos!$E$5:$E$88*(Costos!$K$5:$K$88&lt;=$A12)*(Costos!$L$5:$L$88&gt;$A12))</f>
        <v>0</v>
      </c>
      <c r="L12" s="48" t="n">
        <f aca="false">SUMPRODUCT((Costos!$C$5:$C$88=L$4)*Costos!$E$5:$E$88*(Costos!$K$5:$K$88&lt;=$A12)*(Costos!$L$5:$L$88&gt;$A12))</f>
        <v>0</v>
      </c>
      <c r="M12" s="48" t="n">
        <f aca="false">SUMPRODUCT((Costos!$C$5:$C$88=M$4)*Costos!$E$5:$E$88*(Costos!$K$5:$K$88&lt;=$A12)*(Costos!$L$5:$L$88&gt;$A12))</f>
        <v>0.4</v>
      </c>
      <c r="N12" s="48" t="n">
        <f aca="false">SUMPRODUCT((Costos!$C$5:$C$88=N$4)*Costos!$E$5:$E$88*(Costos!$K$5:$K$88&lt;=$A12)*(Costos!$L$5:$L$88&gt;$A12))</f>
        <v>0</v>
      </c>
    </row>
    <row r="13" customFormat="false" ht="15" hidden="false" customHeight="false" outlineLevel="0" collapsed="false">
      <c r="A13" s="26" t="n">
        <v>8</v>
      </c>
      <c r="B13" s="47" t="n">
        <f aca="false">INDEX(Calendario!$B$3:$B$172,A13+1)</f>
        <v>46309</v>
      </c>
      <c r="C13" s="48" t="n">
        <f aca="false">SUMPRODUCT((Costos!$C$5:$C$88=C$4)*Costos!$E$5:$E$88*(Costos!$K$5:$K$88&lt;=$A13)*(Costos!$L$5:$L$88&gt;$A13))</f>
        <v>0.7</v>
      </c>
      <c r="D13" s="48" t="n">
        <f aca="false">SUMPRODUCT((Costos!$C$5:$C$88=D$4)*Costos!$E$5:$E$88*(Costos!$K$5:$K$88&lt;=$A13)*(Costos!$L$5:$L$88&gt;$A13))</f>
        <v>1</v>
      </c>
      <c r="E13" s="48" t="n">
        <f aca="false">SUMPRODUCT((Costos!$C$5:$C$88=E$4)*Costos!$E$5:$E$88*(Costos!$K$5:$K$88&lt;=$A13)*(Costos!$L$5:$L$88&gt;$A13))</f>
        <v>0</v>
      </c>
      <c r="F13" s="48" t="n">
        <f aca="false">SUMPRODUCT((Costos!$C$5:$C$88=F$4)*Costos!$E$5:$E$88*(Costos!$K$5:$K$88&lt;=$A13)*(Costos!$L$5:$L$88&gt;$A13))</f>
        <v>0</v>
      </c>
      <c r="G13" s="48" t="n">
        <f aca="false">SUMPRODUCT((Costos!$C$5:$C$88=G$4)*Costos!$E$5:$E$88*(Costos!$K$5:$K$88&lt;=$A13)*(Costos!$L$5:$L$88&gt;$A13))</f>
        <v>0.2</v>
      </c>
      <c r="H13" s="48" t="n">
        <f aca="false">SUMPRODUCT((Costos!$C$5:$C$88=H$4)*Costos!$E$5:$E$88*(Costos!$K$5:$K$88&lt;=$A13)*(Costos!$L$5:$L$88&gt;$A13))</f>
        <v>2</v>
      </c>
      <c r="I13" s="48" t="n">
        <f aca="false">SUMPRODUCT((Costos!$C$5:$C$88=I$4)*Costos!$E$5:$E$88*(Costos!$K$5:$K$88&lt;=$A13)*(Costos!$L$5:$L$88&gt;$A13))</f>
        <v>0.8</v>
      </c>
      <c r="J13" s="48" t="n">
        <f aca="false">SUMPRODUCT((Costos!$C$5:$C$88=J$4)*Costos!$E$5:$E$88*(Costos!$K$5:$K$88&lt;=$A13)*(Costos!$L$5:$L$88&gt;$A13))</f>
        <v>1</v>
      </c>
      <c r="K13" s="48" t="n">
        <f aca="false">SUMPRODUCT((Costos!$C$5:$C$88=K$4)*Costos!$E$5:$E$88*(Costos!$K$5:$K$88&lt;=$A13)*(Costos!$L$5:$L$88&gt;$A13))</f>
        <v>0.5</v>
      </c>
      <c r="L13" s="48" t="n">
        <f aca="false">SUMPRODUCT((Costos!$C$5:$C$88=L$4)*Costos!$E$5:$E$88*(Costos!$K$5:$K$88&lt;=$A13)*(Costos!$L$5:$L$88&gt;$A13))</f>
        <v>0.2</v>
      </c>
      <c r="M13" s="48" t="n">
        <f aca="false">SUMPRODUCT((Costos!$C$5:$C$88=M$4)*Costos!$E$5:$E$88*(Costos!$K$5:$K$88&lt;=$A13)*(Costos!$L$5:$L$88&gt;$A13))</f>
        <v>0.5</v>
      </c>
      <c r="N13" s="48" t="n">
        <f aca="false">SUMPRODUCT((Costos!$C$5:$C$88=N$4)*Costos!$E$5:$E$88*(Costos!$K$5:$K$88&lt;=$A13)*(Costos!$L$5:$L$88&gt;$A13))</f>
        <v>0</v>
      </c>
    </row>
    <row r="14" customFormat="false" ht="15" hidden="false" customHeight="false" outlineLevel="0" collapsed="false">
      <c r="A14" s="26" t="n">
        <v>9</v>
      </c>
      <c r="B14" s="47" t="n">
        <f aca="false">INDEX(Calendario!$B$3:$B$172,A14+1)</f>
        <v>46310</v>
      </c>
      <c r="C14" s="48" t="n">
        <f aca="false">SUMPRODUCT((Costos!$C$5:$C$88=C$4)*Costos!$E$5:$E$88*(Costos!$K$5:$K$88&lt;=$A14)*(Costos!$L$5:$L$88&gt;$A14))</f>
        <v>0.7</v>
      </c>
      <c r="D14" s="48" t="n">
        <f aca="false">SUMPRODUCT((Costos!$C$5:$C$88=D$4)*Costos!$E$5:$E$88*(Costos!$K$5:$K$88&lt;=$A14)*(Costos!$L$5:$L$88&gt;$A14))</f>
        <v>1</v>
      </c>
      <c r="E14" s="48" t="n">
        <f aca="false">SUMPRODUCT((Costos!$C$5:$C$88=E$4)*Costos!$E$5:$E$88*(Costos!$K$5:$K$88&lt;=$A14)*(Costos!$L$5:$L$88&gt;$A14))</f>
        <v>0</v>
      </c>
      <c r="F14" s="48" t="n">
        <f aca="false">SUMPRODUCT((Costos!$C$5:$C$88=F$4)*Costos!$E$5:$E$88*(Costos!$K$5:$K$88&lt;=$A14)*(Costos!$L$5:$L$88&gt;$A14))</f>
        <v>0</v>
      </c>
      <c r="G14" s="48" t="n">
        <f aca="false">SUMPRODUCT((Costos!$C$5:$C$88=G$4)*Costos!$E$5:$E$88*(Costos!$K$5:$K$88&lt;=$A14)*(Costos!$L$5:$L$88&gt;$A14))</f>
        <v>0.2</v>
      </c>
      <c r="H14" s="48" t="n">
        <f aca="false">SUMPRODUCT((Costos!$C$5:$C$88=H$4)*Costos!$E$5:$E$88*(Costos!$K$5:$K$88&lt;=$A14)*(Costos!$L$5:$L$88&gt;$A14))</f>
        <v>2</v>
      </c>
      <c r="I14" s="48" t="n">
        <f aca="false">SUMPRODUCT((Costos!$C$5:$C$88=I$4)*Costos!$E$5:$E$88*(Costos!$K$5:$K$88&lt;=$A14)*(Costos!$L$5:$L$88&gt;$A14))</f>
        <v>0.8</v>
      </c>
      <c r="J14" s="48" t="n">
        <f aca="false">SUMPRODUCT((Costos!$C$5:$C$88=J$4)*Costos!$E$5:$E$88*(Costos!$K$5:$K$88&lt;=$A14)*(Costos!$L$5:$L$88&gt;$A14))</f>
        <v>1</v>
      </c>
      <c r="K14" s="48" t="n">
        <f aca="false">SUMPRODUCT((Costos!$C$5:$C$88=K$4)*Costos!$E$5:$E$88*(Costos!$K$5:$K$88&lt;=$A14)*(Costos!$L$5:$L$88&gt;$A14))</f>
        <v>0.5</v>
      </c>
      <c r="L14" s="48" t="n">
        <f aca="false">SUMPRODUCT((Costos!$C$5:$C$88=L$4)*Costos!$E$5:$E$88*(Costos!$K$5:$K$88&lt;=$A14)*(Costos!$L$5:$L$88&gt;$A14))</f>
        <v>0.2</v>
      </c>
      <c r="M14" s="48" t="n">
        <f aca="false">SUMPRODUCT((Costos!$C$5:$C$88=M$4)*Costos!$E$5:$E$88*(Costos!$K$5:$K$88&lt;=$A14)*(Costos!$L$5:$L$88&gt;$A14))</f>
        <v>0.5</v>
      </c>
      <c r="N14" s="48" t="n">
        <f aca="false">SUMPRODUCT((Costos!$C$5:$C$88=N$4)*Costos!$E$5:$E$88*(Costos!$K$5:$K$88&lt;=$A14)*(Costos!$L$5:$L$88&gt;$A14))</f>
        <v>0</v>
      </c>
    </row>
    <row r="15" customFormat="false" ht="15" hidden="false" customHeight="false" outlineLevel="0" collapsed="false">
      <c r="A15" s="26" t="n">
        <v>10</v>
      </c>
      <c r="B15" s="47" t="n">
        <f aca="false">INDEX(Calendario!$B$3:$B$172,A15+1)</f>
        <v>46311</v>
      </c>
      <c r="C15" s="48" t="n">
        <f aca="false">SUMPRODUCT((Costos!$C$5:$C$88=C$4)*Costos!$E$5:$E$88*(Costos!$K$5:$K$88&lt;=$A15)*(Costos!$L$5:$L$88&gt;$A15))</f>
        <v>0.7</v>
      </c>
      <c r="D15" s="48" t="n">
        <f aca="false">SUMPRODUCT((Costos!$C$5:$C$88=D$4)*Costos!$E$5:$E$88*(Costos!$K$5:$K$88&lt;=$A15)*(Costos!$L$5:$L$88&gt;$A15))</f>
        <v>1</v>
      </c>
      <c r="E15" s="48" t="n">
        <f aca="false">SUMPRODUCT((Costos!$C$5:$C$88=E$4)*Costos!$E$5:$E$88*(Costos!$K$5:$K$88&lt;=$A15)*(Costos!$L$5:$L$88&gt;$A15))</f>
        <v>0</v>
      </c>
      <c r="F15" s="48" t="n">
        <f aca="false">SUMPRODUCT((Costos!$C$5:$C$88=F$4)*Costos!$E$5:$E$88*(Costos!$K$5:$K$88&lt;=$A15)*(Costos!$L$5:$L$88&gt;$A15))</f>
        <v>0</v>
      </c>
      <c r="G15" s="48" t="n">
        <f aca="false">SUMPRODUCT((Costos!$C$5:$C$88=G$4)*Costos!$E$5:$E$88*(Costos!$K$5:$K$88&lt;=$A15)*(Costos!$L$5:$L$88&gt;$A15))</f>
        <v>0.2</v>
      </c>
      <c r="H15" s="48" t="n">
        <f aca="false">SUMPRODUCT((Costos!$C$5:$C$88=H$4)*Costos!$E$5:$E$88*(Costos!$K$5:$K$88&lt;=$A15)*(Costos!$L$5:$L$88&gt;$A15))</f>
        <v>2</v>
      </c>
      <c r="I15" s="48" t="n">
        <f aca="false">SUMPRODUCT((Costos!$C$5:$C$88=I$4)*Costos!$E$5:$E$88*(Costos!$K$5:$K$88&lt;=$A15)*(Costos!$L$5:$L$88&gt;$A15))</f>
        <v>0.8</v>
      </c>
      <c r="J15" s="48" t="n">
        <f aca="false">SUMPRODUCT((Costos!$C$5:$C$88=J$4)*Costos!$E$5:$E$88*(Costos!$K$5:$K$88&lt;=$A15)*(Costos!$L$5:$L$88&gt;$A15))</f>
        <v>1</v>
      </c>
      <c r="K15" s="48" t="n">
        <f aca="false">SUMPRODUCT((Costos!$C$5:$C$88=K$4)*Costos!$E$5:$E$88*(Costos!$K$5:$K$88&lt;=$A15)*(Costos!$L$5:$L$88&gt;$A15))</f>
        <v>0.5</v>
      </c>
      <c r="L15" s="48" t="n">
        <f aca="false">SUMPRODUCT((Costos!$C$5:$C$88=L$4)*Costos!$E$5:$E$88*(Costos!$K$5:$K$88&lt;=$A15)*(Costos!$L$5:$L$88&gt;$A15))</f>
        <v>0.2</v>
      </c>
      <c r="M15" s="48" t="n">
        <f aca="false">SUMPRODUCT((Costos!$C$5:$C$88=M$4)*Costos!$E$5:$E$88*(Costos!$K$5:$K$88&lt;=$A15)*(Costos!$L$5:$L$88&gt;$A15))</f>
        <v>0.5</v>
      </c>
      <c r="N15" s="48" t="n">
        <f aca="false">SUMPRODUCT((Costos!$C$5:$C$88=N$4)*Costos!$E$5:$E$88*(Costos!$K$5:$K$88&lt;=$A15)*(Costos!$L$5:$L$88&gt;$A15))</f>
        <v>0</v>
      </c>
    </row>
    <row r="16" customFormat="false" ht="15" hidden="false" customHeight="false" outlineLevel="0" collapsed="false">
      <c r="A16" s="26" t="n">
        <v>11</v>
      </c>
      <c r="B16" s="47" t="n">
        <f aca="false">INDEX(Calendario!$B$3:$B$172,A16+1)</f>
        <v>46314</v>
      </c>
      <c r="C16" s="48" t="n">
        <f aca="false">SUMPRODUCT((Costos!$C$5:$C$88=C$4)*Costos!$E$5:$E$88*(Costos!$K$5:$K$88&lt;=$A16)*(Costos!$L$5:$L$88&gt;$A16))</f>
        <v>0.7</v>
      </c>
      <c r="D16" s="48" t="n">
        <f aca="false">SUMPRODUCT((Costos!$C$5:$C$88=D$4)*Costos!$E$5:$E$88*(Costos!$K$5:$K$88&lt;=$A16)*(Costos!$L$5:$L$88&gt;$A16))</f>
        <v>1</v>
      </c>
      <c r="E16" s="48" t="n">
        <f aca="false">SUMPRODUCT((Costos!$C$5:$C$88=E$4)*Costos!$E$5:$E$88*(Costos!$K$5:$K$88&lt;=$A16)*(Costos!$L$5:$L$88&gt;$A16))</f>
        <v>0</v>
      </c>
      <c r="F16" s="48" t="n">
        <f aca="false">SUMPRODUCT((Costos!$C$5:$C$88=F$4)*Costos!$E$5:$E$88*(Costos!$K$5:$K$88&lt;=$A16)*(Costos!$L$5:$L$88&gt;$A16))</f>
        <v>0</v>
      </c>
      <c r="G16" s="48" t="n">
        <f aca="false">SUMPRODUCT((Costos!$C$5:$C$88=G$4)*Costos!$E$5:$E$88*(Costos!$K$5:$K$88&lt;=$A16)*(Costos!$L$5:$L$88&gt;$A16))</f>
        <v>0.2</v>
      </c>
      <c r="H16" s="48" t="n">
        <f aca="false">SUMPRODUCT((Costos!$C$5:$C$88=H$4)*Costos!$E$5:$E$88*(Costos!$K$5:$K$88&lt;=$A16)*(Costos!$L$5:$L$88&gt;$A16))</f>
        <v>2</v>
      </c>
      <c r="I16" s="48" t="n">
        <f aca="false">SUMPRODUCT((Costos!$C$5:$C$88=I$4)*Costos!$E$5:$E$88*(Costos!$K$5:$K$88&lt;=$A16)*(Costos!$L$5:$L$88&gt;$A16))</f>
        <v>0.8</v>
      </c>
      <c r="J16" s="48" t="n">
        <f aca="false">SUMPRODUCT((Costos!$C$5:$C$88=J$4)*Costos!$E$5:$E$88*(Costos!$K$5:$K$88&lt;=$A16)*(Costos!$L$5:$L$88&gt;$A16))</f>
        <v>1</v>
      </c>
      <c r="K16" s="48" t="n">
        <f aca="false">SUMPRODUCT((Costos!$C$5:$C$88=K$4)*Costos!$E$5:$E$88*(Costos!$K$5:$K$88&lt;=$A16)*(Costos!$L$5:$L$88&gt;$A16))</f>
        <v>0.5</v>
      </c>
      <c r="L16" s="48" t="n">
        <f aca="false">SUMPRODUCT((Costos!$C$5:$C$88=L$4)*Costos!$E$5:$E$88*(Costos!$K$5:$K$88&lt;=$A16)*(Costos!$L$5:$L$88&gt;$A16))</f>
        <v>0.2</v>
      </c>
      <c r="M16" s="48" t="n">
        <f aca="false">SUMPRODUCT((Costos!$C$5:$C$88=M$4)*Costos!$E$5:$E$88*(Costos!$K$5:$K$88&lt;=$A16)*(Costos!$L$5:$L$88&gt;$A16))</f>
        <v>0.5</v>
      </c>
      <c r="N16" s="48" t="n">
        <f aca="false">SUMPRODUCT((Costos!$C$5:$C$88=N$4)*Costos!$E$5:$E$88*(Costos!$K$5:$K$88&lt;=$A16)*(Costos!$L$5:$L$88&gt;$A16))</f>
        <v>0</v>
      </c>
    </row>
    <row r="17" customFormat="false" ht="15" hidden="false" customHeight="false" outlineLevel="0" collapsed="false">
      <c r="A17" s="26" t="n">
        <v>12</v>
      </c>
      <c r="B17" s="47" t="n">
        <f aca="false">INDEX(Calendario!$B$3:$B$172,A17+1)</f>
        <v>46315</v>
      </c>
      <c r="C17" s="48" t="n">
        <f aca="false">SUMPRODUCT((Costos!$C$5:$C$88=C$4)*Costos!$E$5:$E$88*(Costos!$K$5:$K$88&lt;=$A17)*(Costos!$L$5:$L$88&gt;$A17))</f>
        <v>0.7</v>
      </c>
      <c r="D17" s="48" t="n">
        <f aca="false">SUMPRODUCT((Costos!$C$5:$C$88=D$4)*Costos!$E$5:$E$88*(Costos!$K$5:$K$88&lt;=$A17)*(Costos!$L$5:$L$88&gt;$A17))</f>
        <v>1</v>
      </c>
      <c r="E17" s="48" t="n">
        <f aca="false">SUMPRODUCT((Costos!$C$5:$C$88=E$4)*Costos!$E$5:$E$88*(Costos!$K$5:$K$88&lt;=$A17)*(Costos!$L$5:$L$88&gt;$A17))</f>
        <v>0</v>
      </c>
      <c r="F17" s="48" t="n">
        <f aca="false">SUMPRODUCT((Costos!$C$5:$C$88=F$4)*Costos!$E$5:$E$88*(Costos!$K$5:$K$88&lt;=$A17)*(Costos!$L$5:$L$88&gt;$A17))</f>
        <v>0</v>
      </c>
      <c r="G17" s="48" t="n">
        <f aca="false">SUMPRODUCT((Costos!$C$5:$C$88=G$4)*Costos!$E$5:$E$88*(Costos!$K$5:$K$88&lt;=$A17)*(Costos!$L$5:$L$88&gt;$A17))</f>
        <v>0.2</v>
      </c>
      <c r="H17" s="48" t="n">
        <f aca="false">SUMPRODUCT((Costos!$C$5:$C$88=H$4)*Costos!$E$5:$E$88*(Costos!$K$5:$K$88&lt;=$A17)*(Costos!$L$5:$L$88&gt;$A17))</f>
        <v>2</v>
      </c>
      <c r="I17" s="48" t="n">
        <f aca="false">SUMPRODUCT((Costos!$C$5:$C$88=I$4)*Costos!$E$5:$E$88*(Costos!$K$5:$K$88&lt;=$A17)*(Costos!$L$5:$L$88&gt;$A17))</f>
        <v>0.8</v>
      </c>
      <c r="J17" s="48" t="n">
        <f aca="false">SUMPRODUCT((Costos!$C$5:$C$88=J$4)*Costos!$E$5:$E$88*(Costos!$K$5:$K$88&lt;=$A17)*(Costos!$L$5:$L$88&gt;$A17))</f>
        <v>1</v>
      </c>
      <c r="K17" s="48" t="n">
        <f aca="false">SUMPRODUCT((Costos!$C$5:$C$88=K$4)*Costos!$E$5:$E$88*(Costos!$K$5:$K$88&lt;=$A17)*(Costos!$L$5:$L$88&gt;$A17))</f>
        <v>0.5</v>
      </c>
      <c r="L17" s="48" t="n">
        <f aca="false">SUMPRODUCT((Costos!$C$5:$C$88=L$4)*Costos!$E$5:$E$88*(Costos!$K$5:$K$88&lt;=$A17)*(Costos!$L$5:$L$88&gt;$A17))</f>
        <v>0.2</v>
      </c>
      <c r="M17" s="48" t="n">
        <f aca="false">SUMPRODUCT((Costos!$C$5:$C$88=M$4)*Costos!$E$5:$E$88*(Costos!$K$5:$K$88&lt;=$A17)*(Costos!$L$5:$L$88&gt;$A17))</f>
        <v>0.5</v>
      </c>
      <c r="N17" s="48" t="n">
        <f aca="false">SUMPRODUCT((Costos!$C$5:$C$88=N$4)*Costos!$E$5:$E$88*(Costos!$K$5:$K$88&lt;=$A17)*(Costos!$L$5:$L$88&gt;$A17))</f>
        <v>0</v>
      </c>
    </row>
    <row r="18" customFormat="false" ht="15" hidden="false" customHeight="false" outlineLevel="0" collapsed="false">
      <c r="A18" s="26" t="n">
        <v>13</v>
      </c>
      <c r="B18" s="47" t="n">
        <f aca="false">INDEX(Calendario!$B$3:$B$172,A18+1)</f>
        <v>46316</v>
      </c>
      <c r="C18" s="48" t="n">
        <f aca="false">SUMPRODUCT((Costos!$C$5:$C$88=C$4)*Costos!$E$5:$E$88*(Costos!$K$5:$K$88&lt;=$A18)*(Costos!$L$5:$L$88&gt;$A18))</f>
        <v>0.7</v>
      </c>
      <c r="D18" s="48" t="n">
        <f aca="false">SUMPRODUCT((Costos!$C$5:$C$88=D$4)*Costos!$E$5:$E$88*(Costos!$K$5:$K$88&lt;=$A18)*(Costos!$L$5:$L$88&gt;$A18))</f>
        <v>1</v>
      </c>
      <c r="E18" s="48" t="n">
        <f aca="false">SUMPRODUCT((Costos!$C$5:$C$88=E$4)*Costos!$E$5:$E$88*(Costos!$K$5:$K$88&lt;=$A18)*(Costos!$L$5:$L$88&gt;$A18))</f>
        <v>0.2</v>
      </c>
      <c r="F18" s="48" t="n">
        <f aca="false">SUMPRODUCT((Costos!$C$5:$C$88=F$4)*Costos!$E$5:$E$88*(Costos!$K$5:$K$88&lt;=$A18)*(Costos!$L$5:$L$88&gt;$A18))</f>
        <v>1</v>
      </c>
      <c r="G18" s="48" t="n">
        <f aca="false">SUMPRODUCT((Costos!$C$5:$C$88=G$4)*Costos!$E$5:$E$88*(Costos!$K$5:$K$88&lt;=$A18)*(Costos!$L$5:$L$88&gt;$A18))</f>
        <v>0.4</v>
      </c>
      <c r="H18" s="48" t="n">
        <f aca="false">SUMPRODUCT((Costos!$C$5:$C$88=H$4)*Costos!$E$5:$E$88*(Costos!$K$5:$K$88&lt;=$A18)*(Costos!$L$5:$L$88&gt;$A18))</f>
        <v>2</v>
      </c>
      <c r="I18" s="48" t="n">
        <f aca="false">SUMPRODUCT((Costos!$C$5:$C$88=I$4)*Costos!$E$5:$E$88*(Costos!$K$5:$K$88&lt;=$A18)*(Costos!$L$5:$L$88&gt;$A18))</f>
        <v>0.8</v>
      </c>
      <c r="J18" s="48" t="n">
        <f aca="false">SUMPRODUCT((Costos!$C$5:$C$88=J$4)*Costos!$E$5:$E$88*(Costos!$K$5:$K$88&lt;=$A18)*(Costos!$L$5:$L$88&gt;$A18))</f>
        <v>1</v>
      </c>
      <c r="K18" s="48" t="n">
        <f aca="false">SUMPRODUCT((Costos!$C$5:$C$88=K$4)*Costos!$E$5:$E$88*(Costos!$K$5:$K$88&lt;=$A18)*(Costos!$L$5:$L$88&gt;$A18))</f>
        <v>0.5</v>
      </c>
      <c r="L18" s="48" t="n">
        <f aca="false">SUMPRODUCT((Costos!$C$5:$C$88=L$4)*Costos!$E$5:$E$88*(Costos!$K$5:$K$88&lt;=$A18)*(Costos!$L$5:$L$88&gt;$A18))</f>
        <v>0.2</v>
      </c>
      <c r="M18" s="48" t="n">
        <f aca="false">SUMPRODUCT((Costos!$C$5:$C$88=M$4)*Costos!$E$5:$E$88*(Costos!$K$5:$K$88&lt;=$A18)*(Costos!$L$5:$L$88&gt;$A18))</f>
        <v>0.5</v>
      </c>
      <c r="N18" s="48" t="n">
        <f aca="false">SUMPRODUCT((Costos!$C$5:$C$88=N$4)*Costos!$E$5:$E$88*(Costos!$K$5:$K$88&lt;=$A18)*(Costos!$L$5:$L$88&gt;$A18))</f>
        <v>0</v>
      </c>
    </row>
    <row r="19" customFormat="false" ht="15" hidden="false" customHeight="false" outlineLevel="0" collapsed="false">
      <c r="A19" s="26" t="n">
        <v>14</v>
      </c>
      <c r="B19" s="47" t="n">
        <f aca="false">INDEX(Calendario!$B$3:$B$172,A19+1)</f>
        <v>46317</v>
      </c>
      <c r="C19" s="48" t="n">
        <f aca="false">SUMPRODUCT((Costos!$C$5:$C$88=C$4)*Costos!$E$5:$E$88*(Costos!$K$5:$K$88&lt;=$A19)*(Costos!$L$5:$L$88&gt;$A19))</f>
        <v>0.7</v>
      </c>
      <c r="D19" s="48" t="n">
        <f aca="false">SUMPRODUCT((Costos!$C$5:$C$88=D$4)*Costos!$E$5:$E$88*(Costos!$K$5:$K$88&lt;=$A19)*(Costos!$L$5:$L$88&gt;$A19))</f>
        <v>1</v>
      </c>
      <c r="E19" s="48" t="n">
        <f aca="false">SUMPRODUCT((Costos!$C$5:$C$88=E$4)*Costos!$E$5:$E$88*(Costos!$K$5:$K$88&lt;=$A19)*(Costos!$L$5:$L$88&gt;$A19))</f>
        <v>0.2</v>
      </c>
      <c r="F19" s="48" t="n">
        <f aca="false">SUMPRODUCT((Costos!$C$5:$C$88=F$4)*Costos!$E$5:$E$88*(Costos!$K$5:$K$88&lt;=$A19)*(Costos!$L$5:$L$88&gt;$A19))</f>
        <v>1</v>
      </c>
      <c r="G19" s="48" t="n">
        <f aca="false">SUMPRODUCT((Costos!$C$5:$C$88=G$4)*Costos!$E$5:$E$88*(Costos!$K$5:$K$88&lt;=$A19)*(Costos!$L$5:$L$88&gt;$A19))</f>
        <v>0.4</v>
      </c>
      <c r="H19" s="48" t="n">
        <f aca="false">SUMPRODUCT((Costos!$C$5:$C$88=H$4)*Costos!$E$5:$E$88*(Costos!$K$5:$K$88&lt;=$A19)*(Costos!$L$5:$L$88&gt;$A19))</f>
        <v>2</v>
      </c>
      <c r="I19" s="48" t="n">
        <f aca="false">SUMPRODUCT((Costos!$C$5:$C$88=I$4)*Costos!$E$5:$E$88*(Costos!$K$5:$K$88&lt;=$A19)*(Costos!$L$5:$L$88&gt;$A19))</f>
        <v>0.8</v>
      </c>
      <c r="J19" s="48" t="n">
        <f aca="false">SUMPRODUCT((Costos!$C$5:$C$88=J$4)*Costos!$E$5:$E$88*(Costos!$K$5:$K$88&lt;=$A19)*(Costos!$L$5:$L$88&gt;$A19))</f>
        <v>1</v>
      </c>
      <c r="K19" s="48" t="n">
        <f aca="false">SUMPRODUCT((Costos!$C$5:$C$88=K$4)*Costos!$E$5:$E$88*(Costos!$K$5:$K$88&lt;=$A19)*(Costos!$L$5:$L$88&gt;$A19))</f>
        <v>0.5</v>
      </c>
      <c r="L19" s="48" t="n">
        <f aca="false">SUMPRODUCT((Costos!$C$5:$C$88=L$4)*Costos!$E$5:$E$88*(Costos!$K$5:$K$88&lt;=$A19)*(Costos!$L$5:$L$88&gt;$A19))</f>
        <v>0.2</v>
      </c>
      <c r="M19" s="48" t="n">
        <f aca="false">SUMPRODUCT((Costos!$C$5:$C$88=M$4)*Costos!$E$5:$E$88*(Costos!$K$5:$K$88&lt;=$A19)*(Costos!$L$5:$L$88&gt;$A19))</f>
        <v>0.5</v>
      </c>
      <c r="N19" s="48" t="n">
        <f aca="false">SUMPRODUCT((Costos!$C$5:$C$88=N$4)*Costos!$E$5:$E$88*(Costos!$K$5:$K$88&lt;=$A19)*(Costos!$L$5:$L$88&gt;$A19))</f>
        <v>0</v>
      </c>
    </row>
    <row r="20" customFormat="false" ht="15" hidden="false" customHeight="false" outlineLevel="0" collapsed="false">
      <c r="A20" s="26" t="n">
        <v>15</v>
      </c>
      <c r="B20" s="47" t="n">
        <f aca="false">INDEX(Calendario!$B$3:$B$172,A20+1)</f>
        <v>46318</v>
      </c>
      <c r="C20" s="48" t="n">
        <f aca="false">SUMPRODUCT((Costos!$C$5:$C$88=C$4)*Costos!$E$5:$E$88*(Costos!$K$5:$K$88&lt;=$A20)*(Costos!$L$5:$L$88&gt;$A20))</f>
        <v>0.7</v>
      </c>
      <c r="D20" s="48" t="n">
        <f aca="false">SUMPRODUCT((Costos!$C$5:$C$88=D$4)*Costos!$E$5:$E$88*(Costos!$K$5:$K$88&lt;=$A20)*(Costos!$L$5:$L$88&gt;$A20))</f>
        <v>1</v>
      </c>
      <c r="E20" s="48" t="n">
        <f aca="false">SUMPRODUCT((Costos!$C$5:$C$88=E$4)*Costos!$E$5:$E$88*(Costos!$K$5:$K$88&lt;=$A20)*(Costos!$L$5:$L$88&gt;$A20))</f>
        <v>0.2</v>
      </c>
      <c r="F20" s="48" t="n">
        <f aca="false">SUMPRODUCT((Costos!$C$5:$C$88=F$4)*Costos!$E$5:$E$88*(Costos!$K$5:$K$88&lt;=$A20)*(Costos!$L$5:$L$88&gt;$A20))</f>
        <v>1</v>
      </c>
      <c r="G20" s="48" t="n">
        <f aca="false">SUMPRODUCT((Costos!$C$5:$C$88=G$4)*Costos!$E$5:$E$88*(Costos!$K$5:$K$88&lt;=$A20)*(Costos!$L$5:$L$88&gt;$A20))</f>
        <v>0.4</v>
      </c>
      <c r="H20" s="48" t="n">
        <f aca="false">SUMPRODUCT((Costos!$C$5:$C$88=H$4)*Costos!$E$5:$E$88*(Costos!$K$5:$K$88&lt;=$A20)*(Costos!$L$5:$L$88&gt;$A20))</f>
        <v>2</v>
      </c>
      <c r="I20" s="48" t="n">
        <f aca="false">SUMPRODUCT((Costos!$C$5:$C$88=I$4)*Costos!$E$5:$E$88*(Costos!$K$5:$K$88&lt;=$A20)*(Costos!$L$5:$L$88&gt;$A20))</f>
        <v>0.8</v>
      </c>
      <c r="J20" s="48" t="n">
        <f aca="false">SUMPRODUCT((Costos!$C$5:$C$88=J$4)*Costos!$E$5:$E$88*(Costos!$K$5:$K$88&lt;=$A20)*(Costos!$L$5:$L$88&gt;$A20))</f>
        <v>1</v>
      </c>
      <c r="K20" s="48" t="n">
        <f aca="false">SUMPRODUCT((Costos!$C$5:$C$88=K$4)*Costos!$E$5:$E$88*(Costos!$K$5:$K$88&lt;=$A20)*(Costos!$L$5:$L$88&gt;$A20))</f>
        <v>0.5</v>
      </c>
      <c r="L20" s="48" t="n">
        <f aca="false">SUMPRODUCT((Costos!$C$5:$C$88=L$4)*Costos!$E$5:$E$88*(Costos!$K$5:$K$88&lt;=$A20)*(Costos!$L$5:$L$88&gt;$A20))</f>
        <v>0.2</v>
      </c>
      <c r="M20" s="48" t="n">
        <f aca="false">SUMPRODUCT((Costos!$C$5:$C$88=M$4)*Costos!$E$5:$E$88*(Costos!$K$5:$K$88&lt;=$A20)*(Costos!$L$5:$L$88&gt;$A20))</f>
        <v>0.5</v>
      </c>
      <c r="N20" s="48" t="n">
        <f aca="false">SUMPRODUCT((Costos!$C$5:$C$88=N$4)*Costos!$E$5:$E$88*(Costos!$K$5:$K$88&lt;=$A20)*(Costos!$L$5:$L$88&gt;$A20))</f>
        <v>0</v>
      </c>
    </row>
    <row r="21" customFormat="false" ht="15" hidden="false" customHeight="false" outlineLevel="0" collapsed="false">
      <c r="A21" s="26" t="n">
        <v>16</v>
      </c>
      <c r="B21" s="47" t="n">
        <f aca="false">INDEX(Calendario!$B$3:$B$172,A21+1)</f>
        <v>46321</v>
      </c>
      <c r="C21" s="48" t="n">
        <f aca="false">SUMPRODUCT((Costos!$C$5:$C$88=C$4)*Costos!$E$5:$E$88*(Costos!$K$5:$K$88&lt;=$A21)*(Costos!$L$5:$L$88&gt;$A21))</f>
        <v>0.7</v>
      </c>
      <c r="D21" s="48" t="n">
        <f aca="false">SUMPRODUCT((Costos!$C$5:$C$88=D$4)*Costos!$E$5:$E$88*(Costos!$K$5:$K$88&lt;=$A21)*(Costos!$L$5:$L$88&gt;$A21))</f>
        <v>1</v>
      </c>
      <c r="E21" s="48" t="n">
        <f aca="false">SUMPRODUCT((Costos!$C$5:$C$88=E$4)*Costos!$E$5:$E$88*(Costos!$K$5:$K$88&lt;=$A21)*(Costos!$L$5:$L$88&gt;$A21))</f>
        <v>0.2</v>
      </c>
      <c r="F21" s="48" t="n">
        <f aca="false">SUMPRODUCT((Costos!$C$5:$C$88=F$4)*Costos!$E$5:$E$88*(Costos!$K$5:$K$88&lt;=$A21)*(Costos!$L$5:$L$88&gt;$A21))</f>
        <v>1</v>
      </c>
      <c r="G21" s="48" t="n">
        <f aca="false">SUMPRODUCT((Costos!$C$5:$C$88=G$4)*Costos!$E$5:$E$88*(Costos!$K$5:$K$88&lt;=$A21)*(Costos!$L$5:$L$88&gt;$A21))</f>
        <v>0.4</v>
      </c>
      <c r="H21" s="48" t="n">
        <f aca="false">SUMPRODUCT((Costos!$C$5:$C$88=H$4)*Costos!$E$5:$E$88*(Costos!$K$5:$K$88&lt;=$A21)*(Costos!$L$5:$L$88&gt;$A21))</f>
        <v>2</v>
      </c>
      <c r="I21" s="48" t="n">
        <f aca="false">SUMPRODUCT((Costos!$C$5:$C$88=I$4)*Costos!$E$5:$E$88*(Costos!$K$5:$K$88&lt;=$A21)*(Costos!$L$5:$L$88&gt;$A21))</f>
        <v>0.8</v>
      </c>
      <c r="J21" s="48" t="n">
        <f aca="false">SUMPRODUCT((Costos!$C$5:$C$88=J$4)*Costos!$E$5:$E$88*(Costos!$K$5:$K$88&lt;=$A21)*(Costos!$L$5:$L$88&gt;$A21))</f>
        <v>1</v>
      </c>
      <c r="K21" s="48" t="n">
        <f aca="false">SUMPRODUCT((Costos!$C$5:$C$88=K$4)*Costos!$E$5:$E$88*(Costos!$K$5:$K$88&lt;=$A21)*(Costos!$L$5:$L$88&gt;$A21))</f>
        <v>0.5</v>
      </c>
      <c r="L21" s="48" t="n">
        <f aca="false">SUMPRODUCT((Costos!$C$5:$C$88=L$4)*Costos!$E$5:$E$88*(Costos!$K$5:$K$88&lt;=$A21)*(Costos!$L$5:$L$88&gt;$A21))</f>
        <v>0.2</v>
      </c>
      <c r="M21" s="48" t="n">
        <f aca="false">SUMPRODUCT((Costos!$C$5:$C$88=M$4)*Costos!$E$5:$E$88*(Costos!$K$5:$K$88&lt;=$A21)*(Costos!$L$5:$L$88&gt;$A21))</f>
        <v>0.5</v>
      </c>
      <c r="N21" s="48" t="n">
        <f aca="false">SUMPRODUCT((Costos!$C$5:$C$88=N$4)*Costos!$E$5:$E$88*(Costos!$K$5:$K$88&lt;=$A21)*(Costos!$L$5:$L$88&gt;$A21))</f>
        <v>0</v>
      </c>
    </row>
    <row r="22" customFormat="false" ht="15" hidden="false" customHeight="false" outlineLevel="0" collapsed="false">
      <c r="A22" s="26" t="n">
        <v>17</v>
      </c>
      <c r="B22" s="47" t="n">
        <f aca="false">INDEX(Calendario!$B$3:$B$172,A22+1)</f>
        <v>46322</v>
      </c>
      <c r="C22" s="48" t="n">
        <f aca="false">SUMPRODUCT((Costos!$C$5:$C$88=C$4)*Costos!$E$5:$E$88*(Costos!$K$5:$K$88&lt;=$A22)*(Costos!$L$5:$L$88&gt;$A22))</f>
        <v>0.7</v>
      </c>
      <c r="D22" s="48" t="n">
        <f aca="false">SUMPRODUCT((Costos!$C$5:$C$88=D$4)*Costos!$E$5:$E$88*(Costos!$K$5:$K$88&lt;=$A22)*(Costos!$L$5:$L$88&gt;$A22))</f>
        <v>1</v>
      </c>
      <c r="E22" s="48" t="n">
        <f aca="false">SUMPRODUCT((Costos!$C$5:$C$88=E$4)*Costos!$E$5:$E$88*(Costos!$K$5:$K$88&lt;=$A22)*(Costos!$L$5:$L$88&gt;$A22))</f>
        <v>0.2</v>
      </c>
      <c r="F22" s="48" t="n">
        <f aca="false">SUMPRODUCT((Costos!$C$5:$C$88=F$4)*Costos!$E$5:$E$88*(Costos!$K$5:$K$88&lt;=$A22)*(Costos!$L$5:$L$88&gt;$A22))</f>
        <v>1</v>
      </c>
      <c r="G22" s="48" t="n">
        <f aca="false">SUMPRODUCT((Costos!$C$5:$C$88=G$4)*Costos!$E$5:$E$88*(Costos!$K$5:$K$88&lt;=$A22)*(Costos!$L$5:$L$88&gt;$A22))</f>
        <v>0.4</v>
      </c>
      <c r="H22" s="48" t="n">
        <f aca="false">SUMPRODUCT((Costos!$C$5:$C$88=H$4)*Costos!$E$5:$E$88*(Costos!$K$5:$K$88&lt;=$A22)*(Costos!$L$5:$L$88&gt;$A22))</f>
        <v>2</v>
      </c>
      <c r="I22" s="48" t="n">
        <f aca="false">SUMPRODUCT((Costos!$C$5:$C$88=I$4)*Costos!$E$5:$E$88*(Costos!$K$5:$K$88&lt;=$A22)*(Costos!$L$5:$L$88&gt;$A22))</f>
        <v>0.8</v>
      </c>
      <c r="J22" s="48" t="n">
        <f aca="false">SUMPRODUCT((Costos!$C$5:$C$88=J$4)*Costos!$E$5:$E$88*(Costos!$K$5:$K$88&lt;=$A22)*(Costos!$L$5:$L$88&gt;$A22))</f>
        <v>1</v>
      </c>
      <c r="K22" s="48" t="n">
        <f aca="false">SUMPRODUCT((Costos!$C$5:$C$88=K$4)*Costos!$E$5:$E$88*(Costos!$K$5:$K$88&lt;=$A22)*(Costos!$L$5:$L$88&gt;$A22))</f>
        <v>0.5</v>
      </c>
      <c r="L22" s="48" t="n">
        <f aca="false">SUMPRODUCT((Costos!$C$5:$C$88=L$4)*Costos!$E$5:$E$88*(Costos!$K$5:$K$88&lt;=$A22)*(Costos!$L$5:$L$88&gt;$A22))</f>
        <v>0.2</v>
      </c>
      <c r="M22" s="48" t="n">
        <f aca="false">SUMPRODUCT((Costos!$C$5:$C$88=M$4)*Costos!$E$5:$E$88*(Costos!$K$5:$K$88&lt;=$A22)*(Costos!$L$5:$L$88&gt;$A22))</f>
        <v>0.5</v>
      </c>
      <c r="N22" s="48" t="n">
        <f aca="false">SUMPRODUCT((Costos!$C$5:$C$88=N$4)*Costos!$E$5:$E$88*(Costos!$K$5:$K$88&lt;=$A22)*(Costos!$L$5:$L$88&gt;$A22))</f>
        <v>0</v>
      </c>
    </row>
    <row r="23" customFormat="false" ht="15" hidden="false" customHeight="false" outlineLevel="0" collapsed="false">
      <c r="A23" s="26" t="n">
        <v>18</v>
      </c>
      <c r="B23" s="47" t="n">
        <f aca="false">INDEX(Calendario!$B$3:$B$172,A23+1)</f>
        <v>46323</v>
      </c>
      <c r="C23" s="48" t="n">
        <f aca="false">SUMPRODUCT((Costos!$C$5:$C$88=C$4)*Costos!$E$5:$E$88*(Costos!$K$5:$K$88&lt;=$A23)*(Costos!$L$5:$L$88&gt;$A23))</f>
        <v>0.5</v>
      </c>
      <c r="D23" s="48" t="n">
        <f aca="false">SUMPRODUCT((Costos!$C$5:$C$88=D$4)*Costos!$E$5:$E$88*(Costos!$K$5:$K$88&lt;=$A23)*(Costos!$L$5:$L$88&gt;$A23))</f>
        <v>0.2</v>
      </c>
      <c r="E23" s="48" t="n">
        <f aca="false">SUMPRODUCT((Costos!$C$5:$C$88=E$4)*Costos!$E$5:$E$88*(Costos!$K$5:$K$88&lt;=$A23)*(Costos!$L$5:$L$88&gt;$A23))</f>
        <v>1</v>
      </c>
      <c r="F23" s="48" t="n">
        <f aca="false">SUMPRODUCT((Costos!$C$5:$C$88=F$4)*Costos!$E$5:$E$88*(Costos!$K$5:$K$88&lt;=$A23)*(Costos!$L$5:$L$88&gt;$A23))</f>
        <v>2</v>
      </c>
      <c r="G23" s="48" t="n">
        <f aca="false">SUMPRODUCT((Costos!$C$5:$C$88=G$4)*Costos!$E$5:$E$88*(Costos!$K$5:$K$88&lt;=$A23)*(Costos!$L$5:$L$88&gt;$A23))</f>
        <v>0.4</v>
      </c>
      <c r="H23" s="48" t="n">
        <f aca="false">SUMPRODUCT((Costos!$C$5:$C$88=H$4)*Costos!$E$5:$E$88*(Costos!$K$5:$K$88&lt;=$A23)*(Costos!$L$5:$L$88&gt;$A23))</f>
        <v>2</v>
      </c>
      <c r="I23" s="48" t="n">
        <f aca="false">SUMPRODUCT((Costos!$C$5:$C$88=I$4)*Costos!$E$5:$E$88*(Costos!$K$5:$K$88&lt;=$A23)*(Costos!$L$5:$L$88&gt;$A23))</f>
        <v>1</v>
      </c>
      <c r="J23" s="48" t="n">
        <f aca="false">SUMPRODUCT((Costos!$C$5:$C$88=J$4)*Costos!$E$5:$E$88*(Costos!$K$5:$K$88&lt;=$A23)*(Costos!$L$5:$L$88&gt;$A23))</f>
        <v>1</v>
      </c>
      <c r="K23" s="48" t="n">
        <f aca="false">SUMPRODUCT((Costos!$C$5:$C$88=K$4)*Costos!$E$5:$E$88*(Costos!$K$5:$K$88&lt;=$A23)*(Costos!$L$5:$L$88&gt;$A23))</f>
        <v>0.5</v>
      </c>
      <c r="L23" s="48" t="n">
        <f aca="false">SUMPRODUCT((Costos!$C$5:$C$88=L$4)*Costos!$E$5:$E$88*(Costos!$K$5:$K$88&lt;=$A23)*(Costos!$L$5:$L$88&gt;$A23))</f>
        <v>0.5</v>
      </c>
      <c r="M23" s="48" t="n">
        <f aca="false">SUMPRODUCT((Costos!$C$5:$C$88=M$4)*Costos!$E$5:$E$88*(Costos!$K$5:$K$88&lt;=$A23)*(Costos!$L$5:$L$88&gt;$A23))</f>
        <v>0.4</v>
      </c>
      <c r="N23" s="48" t="n">
        <f aca="false">SUMPRODUCT((Costos!$C$5:$C$88=N$4)*Costos!$E$5:$E$88*(Costos!$K$5:$K$88&lt;=$A23)*(Costos!$L$5:$L$88&gt;$A23))</f>
        <v>0</v>
      </c>
    </row>
    <row r="24" customFormat="false" ht="15" hidden="false" customHeight="false" outlineLevel="0" collapsed="false">
      <c r="A24" s="26" t="n">
        <v>19</v>
      </c>
      <c r="B24" s="47" t="n">
        <f aca="false">INDEX(Calendario!$B$3:$B$172,A24+1)</f>
        <v>46324</v>
      </c>
      <c r="C24" s="48" t="n">
        <f aca="false">SUMPRODUCT((Costos!$C$5:$C$88=C$4)*Costos!$E$5:$E$88*(Costos!$K$5:$K$88&lt;=$A24)*(Costos!$L$5:$L$88&gt;$A24))</f>
        <v>0.5</v>
      </c>
      <c r="D24" s="48" t="n">
        <f aca="false">SUMPRODUCT((Costos!$C$5:$C$88=D$4)*Costos!$E$5:$E$88*(Costos!$K$5:$K$88&lt;=$A24)*(Costos!$L$5:$L$88&gt;$A24))</f>
        <v>0.2</v>
      </c>
      <c r="E24" s="48" t="n">
        <f aca="false">SUMPRODUCT((Costos!$C$5:$C$88=E$4)*Costos!$E$5:$E$88*(Costos!$K$5:$K$88&lt;=$A24)*(Costos!$L$5:$L$88&gt;$A24))</f>
        <v>1</v>
      </c>
      <c r="F24" s="48" t="n">
        <f aca="false">SUMPRODUCT((Costos!$C$5:$C$88=F$4)*Costos!$E$5:$E$88*(Costos!$K$5:$K$88&lt;=$A24)*(Costos!$L$5:$L$88&gt;$A24))</f>
        <v>2</v>
      </c>
      <c r="G24" s="48" t="n">
        <f aca="false">SUMPRODUCT((Costos!$C$5:$C$88=G$4)*Costos!$E$5:$E$88*(Costos!$K$5:$K$88&lt;=$A24)*(Costos!$L$5:$L$88&gt;$A24))</f>
        <v>0.4</v>
      </c>
      <c r="H24" s="48" t="n">
        <f aca="false">SUMPRODUCT((Costos!$C$5:$C$88=H$4)*Costos!$E$5:$E$88*(Costos!$K$5:$K$88&lt;=$A24)*(Costos!$L$5:$L$88&gt;$A24))</f>
        <v>2</v>
      </c>
      <c r="I24" s="48" t="n">
        <f aca="false">SUMPRODUCT((Costos!$C$5:$C$88=I$4)*Costos!$E$5:$E$88*(Costos!$K$5:$K$88&lt;=$A24)*(Costos!$L$5:$L$88&gt;$A24))</f>
        <v>1</v>
      </c>
      <c r="J24" s="48" t="n">
        <f aca="false">SUMPRODUCT((Costos!$C$5:$C$88=J$4)*Costos!$E$5:$E$88*(Costos!$K$5:$K$88&lt;=$A24)*(Costos!$L$5:$L$88&gt;$A24))</f>
        <v>1</v>
      </c>
      <c r="K24" s="48" t="n">
        <f aca="false">SUMPRODUCT((Costos!$C$5:$C$88=K$4)*Costos!$E$5:$E$88*(Costos!$K$5:$K$88&lt;=$A24)*(Costos!$L$5:$L$88&gt;$A24))</f>
        <v>0.5</v>
      </c>
      <c r="L24" s="48" t="n">
        <f aca="false">SUMPRODUCT((Costos!$C$5:$C$88=L$4)*Costos!$E$5:$E$88*(Costos!$K$5:$K$88&lt;=$A24)*(Costos!$L$5:$L$88&gt;$A24))</f>
        <v>0.5</v>
      </c>
      <c r="M24" s="48" t="n">
        <f aca="false">SUMPRODUCT((Costos!$C$5:$C$88=M$4)*Costos!$E$5:$E$88*(Costos!$K$5:$K$88&lt;=$A24)*(Costos!$L$5:$L$88&gt;$A24))</f>
        <v>0.4</v>
      </c>
      <c r="N24" s="48" t="n">
        <f aca="false">SUMPRODUCT((Costos!$C$5:$C$88=N$4)*Costos!$E$5:$E$88*(Costos!$K$5:$K$88&lt;=$A24)*(Costos!$L$5:$L$88&gt;$A24))</f>
        <v>0</v>
      </c>
    </row>
    <row r="25" customFormat="false" ht="15" hidden="false" customHeight="false" outlineLevel="0" collapsed="false">
      <c r="A25" s="26" t="n">
        <v>20</v>
      </c>
      <c r="B25" s="47" t="n">
        <f aca="false">INDEX(Calendario!$B$3:$B$172,A25+1)</f>
        <v>46325</v>
      </c>
      <c r="C25" s="48" t="n">
        <f aca="false">SUMPRODUCT((Costos!$C$5:$C$88=C$4)*Costos!$E$5:$E$88*(Costos!$K$5:$K$88&lt;=$A25)*(Costos!$L$5:$L$88&gt;$A25))</f>
        <v>0.5</v>
      </c>
      <c r="D25" s="48" t="n">
        <f aca="false">SUMPRODUCT((Costos!$C$5:$C$88=D$4)*Costos!$E$5:$E$88*(Costos!$K$5:$K$88&lt;=$A25)*(Costos!$L$5:$L$88&gt;$A25))</f>
        <v>0.2</v>
      </c>
      <c r="E25" s="48" t="n">
        <f aca="false">SUMPRODUCT((Costos!$C$5:$C$88=E$4)*Costos!$E$5:$E$88*(Costos!$K$5:$K$88&lt;=$A25)*(Costos!$L$5:$L$88&gt;$A25))</f>
        <v>1</v>
      </c>
      <c r="F25" s="48" t="n">
        <f aca="false">SUMPRODUCT((Costos!$C$5:$C$88=F$4)*Costos!$E$5:$E$88*(Costos!$K$5:$K$88&lt;=$A25)*(Costos!$L$5:$L$88&gt;$A25))</f>
        <v>2</v>
      </c>
      <c r="G25" s="48" t="n">
        <f aca="false">SUMPRODUCT((Costos!$C$5:$C$88=G$4)*Costos!$E$5:$E$88*(Costos!$K$5:$K$88&lt;=$A25)*(Costos!$L$5:$L$88&gt;$A25))</f>
        <v>0.4</v>
      </c>
      <c r="H25" s="48" t="n">
        <f aca="false">SUMPRODUCT((Costos!$C$5:$C$88=H$4)*Costos!$E$5:$E$88*(Costos!$K$5:$K$88&lt;=$A25)*(Costos!$L$5:$L$88&gt;$A25))</f>
        <v>2</v>
      </c>
      <c r="I25" s="48" t="n">
        <f aca="false">SUMPRODUCT((Costos!$C$5:$C$88=I$4)*Costos!$E$5:$E$88*(Costos!$K$5:$K$88&lt;=$A25)*(Costos!$L$5:$L$88&gt;$A25))</f>
        <v>0.2</v>
      </c>
      <c r="J25" s="48" t="n">
        <f aca="false">SUMPRODUCT((Costos!$C$5:$C$88=J$4)*Costos!$E$5:$E$88*(Costos!$K$5:$K$88&lt;=$A25)*(Costos!$L$5:$L$88&gt;$A25))</f>
        <v>1</v>
      </c>
      <c r="K25" s="48" t="n">
        <f aca="false">SUMPRODUCT((Costos!$C$5:$C$88=K$4)*Costos!$E$5:$E$88*(Costos!$K$5:$K$88&lt;=$A25)*(Costos!$L$5:$L$88&gt;$A25))</f>
        <v>0.5</v>
      </c>
      <c r="L25" s="48" t="n">
        <f aca="false">SUMPRODUCT((Costos!$C$5:$C$88=L$4)*Costos!$E$5:$E$88*(Costos!$K$5:$K$88&lt;=$A25)*(Costos!$L$5:$L$88&gt;$A25))</f>
        <v>0.5</v>
      </c>
      <c r="M25" s="48" t="n">
        <f aca="false">SUMPRODUCT((Costos!$C$5:$C$88=M$4)*Costos!$E$5:$E$88*(Costos!$K$5:$K$88&lt;=$A25)*(Costos!$L$5:$L$88&gt;$A25))</f>
        <v>0.4</v>
      </c>
      <c r="N25" s="48" t="n">
        <f aca="false">SUMPRODUCT((Costos!$C$5:$C$88=N$4)*Costos!$E$5:$E$88*(Costos!$K$5:$K$88&lt;=$A25)*(Costos!$L$5:$L$88&gt;$A25))</f>
        <v>0</v>
      </c>
    </row>
    <row r="26" customFormat="false" ht="15" hidden="false" customHeight="false" outlineLevel="0" collapsed="false">
      <c r="A26" s="26" t="n">
        <v>21</v>
      </c>
      <c r="B26" s="47" t="n">
        <f aca="false">INDEX(Calendario!$B$3:$B$172,A26+1)</f>
        <v>46328</v>
      </c>
      <c r="C26" s="48" t="n">
        <f aca="false">SUMPRODUCT((Costos!$C$5:$C$88=C$4)*Costos!$E$5:$E$88*(Costos!$K$5:$K$88&lt;=$A26)*(Costos!$L$5:$L$88&gt;$A26))</f>
        <v>0.5</v>
      </c>
      <c r="D26" s="48" t="n">
        <f aca="false">SUMPRODUCT((Costos!$C$5:$C$88=D$4)*Costos!$E$5:$E$88*(Costos!$K$5:$K$88&lt;=$A26)*(Costos!$L$5:$L$88&gt;$A26))</f>
        <v>0.2</v>
      </c>
      <c r="E26" s="48" t="n">
        <f aca="false">SUMPRODUCT((Costos!$C$5:$C$88=E$4)*Costos!$E$5:$E$88*(Costos!$K$5:$K$88&lt;=$A26)*(Costos!$L$5:$L$88&gt;$A26))</f>
        <v>1</v>
      </c>
      <c r="F26" s="48" t="n">
        <f aca="false">SUMPRODUCT((Costos!$C$5:$C$88=F$4)*Costos!$E$5:$E$88*(Costos!$K$5:$K$88&lt;=$A26)*(Costos!$L$5:$L$88&gt;$A26))</f>
        <v>2</v>
      </c>
      <c r="G26" s="48" t="n">
        <f aca="false">SUMPRODUCT((Costos!$C$5:$C$88=G$4)*Costos!$E$5:$E$88*(Costos!$K$5:$K$88&lt;=$A26)*(Costos!$L$5:$L$88&gt;$A26))</f>
        <v>0.4</v>
      </c>
      <c r="H26" s="48" t="n">
        <f aca="false">SUMPRODUCT((Costos!$C$5:$C$88=H$4)*Costos!$E$5:$E$88*(Costos!$K$5:$K$88&lt;=$A26)*(Costos!$L$5:$L$88&gt;$A26))</f>
        <v>2</v>
      </c>
      <c r="I26" s="48" t="n">
        <f aca="false">SUMPRODUCT((Costos!$C$5:$C$88=I$4)*Costos!$E$5:$E$88*(Costos!$K$5:$K$88&lt;=$A26)*(Costos!$L$5:$L$88&gt;$A26))</f>
        <v>0.2</v>
      </c>
      <c r="J26" s="48" t="n">
        <f aca="false">SUMPRODUCT((Costos!$C$5:$C$88=J$4)*Costos!$E$5:$E$88*(Costos!$K$5:$K$88&lt;=$A26)*(Costos!$L$5:$L$88&gt;$A26))</f>
        <v>1</v>
      </c>
      <c r="K26" s="48" t="n">
        <f aca="false">SUMPRODUCT((Costos!$C$5:$C$88=K$4)*Costos!$E$5:$E$88*(Costos!$K$5:$K$88&lt;=$A26)*(Costos!$L$5:$L$88&gt;$A26))</f>
        <v>0.5</v>
      </c>
      <c r="L26" s="48" t="n">
        <f aca="false">SUMPRODUCT((Costos!$C$5:$C$88=L$4)*Costos!$E$5:$E$88*(Costos!$K$5:$K$88&lt;=$A26)*(Costos!$L$5:$L$88&gt;$A26))</f>
        <v>0.5</v>
      </c>
      <c r="M26" s="48" t="n">
        <f aca="false">SUMPRODUCT((Costos!$C$5:$C$88=M$4)*Costos!$E$5:$E$88*(Costos!$K$5:$K$88&lt;=$A26)*(Costos!$L$5:$L$88&gt;$A26))</f>
        <v>0.4</v>
      </c>
      <c r="N26" s="48" t="n">
        <f aca="false">SUMPRODUCT((Costos!$C$5:$C$88=N$4)*Costos!$E$5:$E$88*(Costos!$K$5:$K$88&lt;=$A26)*(Costos!$L$5:$L$88&gt;$A26))</f>
        <v>0</v>
      </c>
    </row>
    <row r="27" customFormat="false" ht="15" hidden="false" customHeight="false" outlineLevel="0" collapsed="false">
      <c r="A27" s="26" t="n">
        <v>22</v>
      </c>
      <c r="B27" s="47" t="n">
        <f aca="false">INDEX(Calendario!$B$3:$B$172,A27+1)</f>
        <v>46329</v>
      </c>
      <c r="C27" s="48" t="n">
        <f aca="false">SUMPRODUCT((Costos!$C$5:$C$88=C$4)*Costos!$E$5:$E$88*(Costos!$K$5:$K$88&lt;=$A27)*(Costos!$L$5:$L$88&gt;$A27))</f>
        <v>0.5</v>
      </c>
      <c r="D27" s="48" t="n">
        <f aca="false">SUMPRODUCT((Costos!$C$5:$C$88=D$4)*Costos!$E$5:$E$88*(Costos!$K$5:$K$88&lt;=$A27)*(Costos!$L$5:$L$88&gt;$A27))</f>
        <v>0.2</v>
      </c>
      <c r="E27" s="48" t="n">
        <f aca="false">SUMPRODUCT((Costos!$C$5:$C$88=E$4)*Costos!$E$5:$E$88*(Costos!$K$5:$K$88&lt;=$A27)*(Costos!$L$5:$L$88&gt;$A27))</f>
        <v>1</v>
      </c>
      <c r="F27" s="48" t="n">
        <f aca="false">SUMPRODUCT((Costos!$C$5:$C$88=F$4)*Costos!$E$5:$E$88*(Costos!$K$5:$K$88&lt;=$A27)*(Costos!$L$5:$L$88&gt;$A27))</f>
        <v>2</v>
      </c>
      <c r="G27" s="48" t="n">
        <f aca="false">SUMPRODUCT((Costos!$C$5:$C$88=G$4)*Costos!$E$5:$E$88*(Costos!$K$5:$K$88&lt;=$A27)*(Costos!$L$5:$L$88&gt;$A27))</f>
        <v>0.4</v>
      </c>
      <c r="H27" s="48" t="n">
        <f aca="false">SUMPRODUCT((Costos!$C$5:$C$88=H$4)*Costos!$E$5:$E$88*(Costos!$K$5:$K$88&lt;=$A27)*(Costos!$L$5:$L$88&gt;$A27))</f>
        <v>2</v>
      </c>
      <c r="I27" s="48" t="n">
        <f aca="false">SUMPRODUCT((Costos!$C$5:$C$88=I$4)*Costos!$E$5:$E$88*(Costos!$K$5:$K$88&lt;=$A27)*(Costos!$L$5:$L$88&gt;$A27))</f>
        <v>0.2</v>
      </c>
      <c r="J27" s="48" t="n">
        <f aca="false">SUMPRODUCT((Costos!$C$5:$C$88=J$4)*Costos!$E$5:$E$88*(Costos!$K$5:$K$88&lt;=$A27)*(Costos!$L$5:$L$88&gt;$A27))</f>
        <v>1</v>
      </c>
      <c r="K27" s="48" t="n">
        <f aca="false">SUMPRODUCT((Costos!$C$5:$C$88=K$4)*Costos!$E$5:$E$88*(Costos!$K$5:$K$88&lt;=$A27)*(Costos!$L$5:$L$88&gt;$A27))</f>
        <v>0.5</v>
      </c>
      <c r="L27" s="48" t="n">
        <f aca="false">SUMPRODUCT((Costos!$C$5:$C$88=L$4)*Costos!$E$5:$E$88*(Costos!$K$5:$K$88&lt;=$A27)*(Costos!$L$5:$L$88&gt;$A27))</f>
        <v>0.5</v>
      </c>
      <c r="M27" s="48" t="n">
        <f aca="false">SUMPRODUCT((Costos!$C$5:$C$88=M$4)*Costos!$E$5:$E$88*(Costos!$K$5:$K$88&lt;=$A27)*(Costos!$L$5:$L$88&gt;$A27))</f>
        <v>0.4</v>
      </c>
      <c r="N27" s="48" t="n">
        <f aca="false">SUMPRODUCT((Costos!$C$5:$C$88=N$4)*Costos!$E$5:$E$88*(Costos!$K$5:$K$88&lt;=$A27)*(Costos!$L$5:$L$88&gt;$A27))</f>
        <v>0</v>
      </c>
    </row>
    <row r="28" customFormat="false" ht="15" hidden="false" customHeight="false" outlineLevel="0" collapsed="false">
      <c r="A28" s="26" t="n">
        <v>23</v>
      </c>
      <c r="B28" s="47" t="n">
        <f aca="false">INDEX(Calendario!$B$3:$B$172,A28+1)</f>
        <v>46330</v>
      </c>
      <c r="C28" s="48" t="n">
        <f aca="false">SUMPRODUCT((Costos!$C$5:$C$88=C$4)*Costos!$E$5:$E$88*(Costos!$K$5:$K$88&lt;=$A28)*(Costos!$L$5:$L$88&gt;$A28))</f>
        <v>0.5</v>
      </c>
      <c r="D28" s="48" t="n">
        <f aca="false">SUMPRODUCT((Costos!$C$5:$C$88=D$4)*Costos!$E$5:$E$88*(Costos!$K$5:$K$88&lt;=$A28)*(Costos!$L$5:$L$88&gt;$A28))</f>
        <v>0.2</v>
      </c>
      <c r="E28" s="48" t="n">
        <f aca="false">SUMPRODUCT((Costos!$C$5:$C$88=E$4)*Costos!$E$5:$E$88*(Costos!$K$5:$K$88&lt;=$A28)*(Costos!$L$5:$L$88&gt;$A28))</f>
        <v>1</v>
      </c>
      <c r="F28" s="48" t="n">
        <f aca="false">SUMPRODUCT((Costos!$C$5:$C$88=F$4)*Costos!$E$5:$E$88*(Costos!$K$5:$K$88&lt;=$A28)*(Costos!$L$5:$L$88&gt;$A28))</f>
        <v>2</v>
      </c>
      <c r="G28" s="48" t="n">
        <f aca="false">SUMPRODUCT((Costos!$C$5:$C$88=G$4)*Costos!$E$5:$E$88*(Costos!$K$5:$K$88&lt;=$A28)*(Costos!$L$5:$L$88&gt;$A28))</f>
        <v>0.4</v>
      </c>
      <c r="H28" s="48" t="n">
        <f aca="false">SUMPRODUCT((Costos!$C$5:$C$88=H$4)*Costos!$E$5:$E$88*(Costos!$K$5:$K$88&lt;=$A28)*(Costos!$L$5:$L$88&gt;$A28))</f>
        <v>2</v>
      </c>
      <c r="I28" s="48" t="n">
        <f aca="false">SUMPRODUCT((Costos!$C$5:$C$88=I$4)*Costos!$E$5:$E$88*(Costos!$K$5:$K$88&lt;=$A28)*(Costos!$L$5:$L$88&gt;$A28))</f>
        <v>0.2</v>
      </c>
      <c r="J28" s="48" t="n">
        <f aca="false">SUMPRODUCT((Costos!$C$5:$C$88=J$4)*Costos!$E$5:$E$88*(Costos!$K$5:$K$88&lt;=$A28)*(Costos!$L$5:$L$88&gt;$A28))</f>
        <v>1</v>
      </c>
      <c r="K28" s="48" t="n">
        <f aca="false">SUMPRODUCT((Costos!$C$5:$C$88=K$4)*Costos!$E$5:$E$88*(Costos!$K$5:$K$88&lt;=$A28)*(Costos!$L$5:$L$88&gt;$A28))</f>
        <v>0.5</v>
      </c>
      <c r="L28" s="48" t="n">
        <f aca="false">SUMPRODUCT((Costos!$C$5:$C$88=L$4)*Costos!$E$5:$E$88*(Costos!$K$5:$K$88&lt;=$A28)*(Costos!$L$5:$L$88&gt;$A28))</f>
        <v>0.5</v>
      </c>
      <c r="M28" s="48" t="n">
        <f aca="false">SUMPRODUCT((Costos!$C$5:$C$88=M$4)*Costos!$E$5:$E$88*(Costos!$K$5:$K$88&lt;=$A28)*(Costos!$L$5:$L$88&gt;$A28))</f>
        <v>0.4</v>
      </c>
      <c r="N28" s="48" t="n">
        <f aca="false">SUMPRODUCT((Costos!$C$5:$C$88=N$4)*Costos!$E$5:$E$88*(Costos!$K$5:$K$88&lt;=$A28)*(Costos!$L$5:$L$88&gt;$A28))</f>
        <v>0</v>
      </c>
    </row>
    <row r="29" customFormat="false" ht="15" hidden="false" customHeight="false" outlineLevel="0" collapsed="false">
      <c r="A29" s="26" t="n">
        <v>24</v>
      </c>
      <c r="B29" s="47" t="n">
        <f aca="false">INDEX(Calendario!$B$3:$B$172,A29+1)</f>
        <v>46331</v>
      </c>
      <c r="C29" s="48" t="n">
        <f aca="false">SUMPRODUCT((Costos!$C$5:$C$88=C$4)*Costos!$E$5:$E$88*(Costos!$K$5:$K$88&lt;=$A29)*(Costos!$L$5:$L$88&gt;$A29))</f>
        <v>0.5</v>
      </c>
      <c r="D29" s="48" t="n">
        <f aca="false">SUMPRODUCT((Costos!$C$5:$C$88=D$4)*Costos!$E$5:$E$88*(Costos!$K$5:$K$88&lt;=$A29)*(Costos!$L$5:$L$88&gt;$A29))</f>
        <v>0.2</v>
      </c>
      <c r="E29" s="48" t="n">
        <f aca="false">SUMPRODUCT((Costos!$C$5:$C$88=E$4)*Costos!$E$5:$E$88*(Costos!$K$5:$K$88&lt;=$A29)*(Costos!$L$5:$L$88&gt;$A29))</f>
        <v>1</v>
      </c>
      <c r="F29" s="48" t="n">
        <f aca="false">SUMPRODUCT((Costos!$C$5:$C$88=F$4)*Costos!$E$5:$E$88*(Costos!$K$5:$K$88&lt;=$A29)*(Costos!$L$5:$L$88&gt;$A29))</f>
        <v>2</v>
      </c>
      <c r="G29" s="48" t="n">
        <f aca="false">SUMPRODUCT((Costos!$C$5:$C$88=G$4)*Costos!$E$5:$E$88*(Costos!$K$5:$K$88&lt;=$A29)*(Costos!$L$5:$L$88&gt;$A29))</f>
        <v>0.4</v>
      </c>
      <c r="H29" s="48" t="n">
        <f aca="false">SUMPRODUCT((Costos!$C$5:$C$88=H$4)*Costos!$E$5:$E$88*(Costos!$K$5:$K$88&lt;=$A29)*(Costos!$L$5:$L$88&gt;$A29))</f>
        <v>2</v>
      </c>
      <c r="I29" s="48" t="n">
        <f aca="false">SUMPRODUCT((Costos!$C$5:$C$88=I$4)*Costos!$E$5:$E$88*(Costos!$K$5:$K$88&lt;=$A29)*(Costos!$L$5:$L$88&gt;$A29))</f>
        <v>0.2</v>
      </c>
      <c r="J29" s="48" t="n">
        <f aca="false">SUMPRODUCT((Costos!$C$5:$C$88=J$4)*Costos!$E$5:$E$88*(Costos!$K$5:$K$88&lt;=$A29)*(Costos!$L$5:$L$88&gt;$A29))</f>
        <v>1</v>
      </c>
      <c r="K29" s="48" t="n">
        <f aca="false">SUMPRODUCT((Costos!$C$5:$C$88=K$4)*Costos!$E$5:$E$88*(Costos!$K$5:$K$88&lt;=$A29)*(Costos!$L$5:$L$88&gt;$A29))</f>
        <v>0.5</v>
      </c>
      <c r="L29" s="48" t="n">
        <f aca="false">SUMPRODUCT((Costos!$C$5:$C$88=L$4)*Costos!$E$5:$E$88*(Costos!$K$5:$K$88&lt;=$A29)*(Costos!$L$5:$L$88&gt;$A29))</f>
        <v>0.5</v>
      </c>
      <c r="M29" s="48" t="n">
        <f aca="false">SUMPRODUCT((Costos!$C$5:$C$88=M$4)*Costos!$E$5:$E$88*(Costos!$K$5:$K$88&lt;=$A29)*(Costos!$L$5:$L$88&gt;$A29))</f>
        <v>0.4</v>
      </c>
      <c r="N29" s="48" t="n">
        <f aca="false">SUMPRODUCT((Costos!$C$5:$C$88=N$4)*Costos!$E$5:$E$88*(Costos!$K$5:$K$88&lt;=$A29)*(Costos!$L$5:$L$88&gt;$A29))</f>
        <v>0</v>
      </c>
    </row>
    <row r="30" customFormat="false" ht="15" hidden="false" customHeight="false" outlineLevel="0" collapsed="false">
      <c r="A30" s="26" t="n">
        <v>25</v>
      </c>
      <c r="B30" s="47" t="n">
        <f aca="false">INDEX(Calendario!$B$3:$B$172,A30+1)</f>
        <v>46332</v>
      </c>
      <c r="C30" s="48" t="n">
        <f aca="false">SUMPRODUCT((Costos!$C$5:$C$88=C$4)*Costos!$E$5:$E$88*(Costos!$K$5:$K$88&lt;=$A30)*(Costos!$L$5:$L$88&gt;$A30))</f>
        <v>0.5</v>
      </c>
      <c r="D30" s="48" t="n">
        <f aca="false">SUMPRODUCT((Costos!$C$5:$C$88=D$4)*Costos!$E$5:$E$88*(Costos!$K$5:$K$88&lt;=$A30)*(Costos!$L$5:$L$88&gt;$A30))</f>
        <v>0.2</v>
      </c>
      <c r="E30" s="48" t="n">
        <f aca="false">SUMPRODUCT((Costos!$C$5:$C$88=E$4)*Costos!$E$5:$E$88*(Costos!$K$5:$K$88&lt;=$A30)*(Costos!$L$5:$L$88&gt;$A30))</f>
        <v>1</v>
      </c>
      <c r="F30" s="48" t="n">
        <f aca="false">SUMPRODUCT((Costos!$C$5:$C$88=F$4)*Costos!$E$5:$E$88*(Costos!$K$5:$K$88&lt;=$A30)*(Costos!$L$5:$L$88&gt;$A30))</f>
        <v>2</v>
      </c>
      <c r="G30" s="48" t="n">
        <f aca="false">SUMPRODUCT((Costos!$C$5:$C$88=G$4)*Costos!$E$5:$E$88*(Costos!$K$5:$K$88&lt;=$A30)*(Costos!$L$5:$L$88&gt;$A30))</f>
        <v>0.4</v>
      </c>
      <c r="H30" s="48" t="n">
        <f aca="false">SUMPRODUCT((Costos!$C$5:$C$88=H$4)*Costos!$E$5:$E$88*(Costos!$K$5:$K$88&lt;=$A30)*(Costos!$L$5:$L$88&gt;$A30))</f>
        <v>2</v>
      </c>
      <c r="I30" s="48" t="n">
        <f aca="false">SUMPRODUCT((Costos!$C$5:$C$88=I$4)*Costos!$E$5:$E$88*(Costos!$K$5:$K$88&lt;=$A30)*(Costos!$L$5:$L$88&gt;$A30))</f>
        <v>0.2</v>
      </c>
      <c r="J30" s="48" t="n">
        <f aca="false">SUMPRODUCT((Costos!$C$5:$C$88=J$4)*Costos!$E$5:$E$88*(Costos!$K$5:$K$88&lt;=$A30)*(Costos!$L$5:$L$88&gt;$A30))</f>
        <v>1</v>
      </c>
      <c r="K30" s="48" t="n">
        <f aca="false">SUMPRODUCT((Costos!$C$5:$C$88=K$4)*Costos!$E$5:$E$88*(Costos!$K$5:$K$88&lt;=$A30)*(Costos!$L$5:$L$88&gt;$A30))</f>
        <v>0.5</v>
      </c>
      <c r="L30" s="48" t="n">
        <f aca="false">SUMPRODUCT((Costos!$C$5:$C$88=L$4)*Costos!$E$5:$E$88*(Costos!$K$5:$K$88&lt;=$A30)*(Costos!$L$5:$L$88&gt;$A30))</f>
        <v>0.5</v>
      </c>
      <c r="M30" s="48" t="n">
        <f aca="false">SUMPRODUCT((Costos!$C$5:$C$88=M$4)*Costos!$E$5:$E$88*(Costos!$K$5:$K$88&lt;=$A30)*(Costos!$L$5:$L$88&gt;$A30))</f>
        <v>0.4</v>
      </c>
      <c r="N30" s="48" t="n">
        <f aca="false">SUMPRODUCT((Costos!$C$5:$C$88=N$4)*Costos!$E$5:$E$88*(Costos!$K$5:$K$88&lt;=$A30)*(Costos!$L$5:$L$88&gt;$A30))</f>
        <v>0</v>
      </c>
    </row>
    <row r="31" customFormat="false" ht="15" hidden="false" customHeight="false" outlineLevel="0" collapsed="false">
      <c r="A31" s="26" t="n">
        <v>26</v>
      </c>
      <c r="B31" s="47" t="n">
        <f aca="false">INDEX(Calendario!$B$3:$B$172,A31+1)</f>
        <v>46335</v>
      </c>
      <c r="C31" s="48" t="n">
        <f aca="false">SUMPRODUCT((Costos!$C$5:$C$88=C$4)*Costos!$E$5:$E$88*(Costos!$K$5:$K$88&lt;=$A31)*(Costos!$L$5:$L$88&gt;$A31))</f>
        <v>0.5</v>
      </c>
      <c r="D31" s="48" t="n">
        <f aca="false">SUMPRODUCT((Costos!$C$5:$C$88=D$4)*Costos!$E$5:$E$88*(Costos!$K$5:$K$88&lt;=$A31)*(Costos!$L$5:$L$88&gt;$A31))</f>
        <v>0.2</v>
      </c>
      <c r="E31" s="48" t="n">
        <f aca="false">SUMPRODUCT((Costos!$C$5:$C$88=E$4)*Costos!$E$5:$E$88*(Costos!$K$5:$K$88&lt;=$A31)*(Costos!$L$5:$L$88&gt;$A31))</f>
        <v>1</v>
      </c>
      <c r="F31" s="48" t="n">
        <f aca="false">SUMPRODUCT((Costos!$C$5:$C$88=F$4)*Costos!$E$5:$E$88*(Costos!$K$5:$K$88&lt;=$A31)*(Costos!$L$5:$L$88&gt;$A31))</f>
        <v>2</v>
      </c>
      <c r="G31" s="48" t="n">
        <f aca="false">SUMPRODUCT((Costos!$C$5:$C$88=G$4)*Costos!$E$5:$E$88*(Costos!$K$5:$K$88&lt;=$A31)*(Costos!$L$5:$L$88&gt;$A31))</f>
        <v>0.4</v>
      </c>
      <c r="H31" s="48" t="n">
        <f aca="false">SUMPRODUCT((Costos!$C$5:$C$88=H$4)*Costos!$E$5:$E$88*(Costos!$K$5:$K$88&lt;=$A31)*(Costos!$L$5:$L$88&gt;$A31))</f>
        <v>2</v>
      </c>
      <c r="I31" s="48" t="n">
        <f aca="false">SUMPRODUCT((Costos!$C$5:$C$88=I$4)*Costos!$E$5:$E$88*(Costos!$K$5:$K$88&lt;=$A31)*(Costos!$L$5:$L$88&gt;$A31))</f>
        <v>0.2</v>
      </c>
      <c r="J31" s="48" t="n">
        <f aca="false">SUMPRODUCT((Costos!$C$5:$C$88=J$4)*Costos!$E$5:$E$88*(Costos!$K$5:$K$88&lt;=$A31)*(Costos!$L$5:$L$88&gt;$A31))</f>
        <v>1</v>
      </c>
      <c r="K31" s="48" t="n">
        <f aca="false">SUMPRODUCT((Costos!$C$5:$C$88=K$4)*Costos!$E$5:$E$88*(Costos!$K$5:$K$88&lt;=$A31)*(Costos!$L$5:$L$88&gt;$A31))</f>
        <v>0.5</v>
      </c>
      <c r="L31" s="48" t="n">
        <f aca="false">SUMPRODUCT((Costos!$C$5:$C$88=L$4)*Costos!$E$5:$E$88*(Costos!$K$5:$K$88&lt;=$A31)*(Costos!$L$5:$L$88&gt;$A31))</f>
        <v>0.5</v>
      </c>
      <c r="M31" s="48" t="n">
        <f aca="false">SUMPRODUCT((Costos!$C$5:$C$88=M$4)*Costos!$E$5:$E$88*(Costos!$K$5:$K$88&lt;=$A31)*(Costos!$L$5:$L$88&gt;$A31))</f>
        <v>0.4</v>
      </c>
      <c r="N31" s="48" t="n">
        <f aca="false">SUMPRODUCT((Costos!$C$5:$C$88=N$4)*Costos!$E$5:$E$88*(Costos!$K$5:$K$88&lt;=$A31)*(Costos!$L$5:$L$88&gt;$A31))</f>
        <v>0</v>
      </c>
    </row>
    <row r="32" customFormat="false" ht="15" hidden="false" customHeight="false" outlineLevel="0" collapsed="false">
      <c r="A32" s="26" t="n">
        <v>27</v>
      </c>
      <c r="B32" s="47" t="n">
        <f aca="false">INDEX(Calendario!$B$3:$B$172,A32+1)</f>
        <v>46336</v>
      </c>
      <c r="C32" s="48" t="n">
        <f aca="false">SUMPRODUCT((Costos!$C$5:$C$88=C$4)*Costos!$E$5:$E$88*(Costos!$K$5:$K$88&lt;=$A32)*(Costos!$L$5:$L$88&gt;$A32))</f>
        <v>0.5</v>
      </c>
      <c r="D32" s="48" t="n">
        <f aca="false">SUMPRODUCT((Costos!$C$5:$C$88=D$4)*Costos!$E$5:$E$88*(Costos!$K$5:$K$88&lt;=$A32)*(Costos!$L$5:$L$88&gt;$A32))</f>
        <v>0.2</v>
      </c>
      <c r="E32" s="48" t="n">
        <f aca="false">SUMPRODUCT((Costos!$C$5:$C$88=E$4)*Costos!$E$5:$E$88*(Costos!$K$5:$K$88&lt;=$A32)*(Costos!$L$5:$L$88&gt;$A32))</f>
        <v>1</v>
      </c>
      <c r="F32" s="48" t="n">
        <f aca="false">SUMPRODUCT((Costos!$C$5:$C$88=F$4)*Costos!$E$5:$E$88*(Costos!$K$5:$K$88&lt;=$A32)*(Costos!$L$5:$L$88&gt;$A32))</f>
        <v>2</v>
      </c>
      <c r="G32" s="48" t="n">
        <f aca="false">SUMPRODUCT((Costos!$C$5:$C$88=G$4)*Costos!$E$5:$E$88*(Costos!$K$5:$K$88&lt;=$A32)*(Costos!$L$5:$L$88&gt;$A32))</f>
        <v>0.4</v>
      </c>
      <c r="H32" s="48" t="n">
        <f aca="false">SUMPRODUCT((Costos!$C$5:$C$88=H$4)*Costos!$E$5:$E$88*(Costos!$K$5:$K$88&lt;=$A32)*(Costos!$L$5:$L$88&gt;$A32))</f>
        <v>2</v>
      </c>
      <c r="I32" s="48" t="n">
        <f aca="false">SUMPRODUCT((Costos!$C$5:$C$88=I$4)*Costos!$E$5:$E$88*(Costos!$K$5:$K$88&lt;=$A32)*(Costos!$L$5:$L$88&gt;$A32))</f>
        <v>0.2</v>
      </c>
      <c r="J32" s="48" t="n">
        <f aca="false">SUMPRODUCT((Costos!$C$5:$C$88=J$4)*Costos!$E$5:$E$88*(Costos!$K$5:$K$88&lt;=$A32)*(Costos!$L$5:$L$88&gt;$A32))</f>
        <v>1</v>
      </c>
      <c r="K32" s="48" t="n">
        <f aca="false">SUMPRODUCT((Costos!$C$5:$C$88=K$4)*Costos!$E$5:$E$88*(Costos!$K$5:$K$88&lt;=$A32)*(Costos!$L$5:$L$88&gt;$A32))</f>
        <v>0.5</v>
      </c>
      <c r="L32" s="48" t="n">
        <f aca="false">SUMPRODUCT((Costos!$C$5:$C$88=L$4)*Costos!$E$5:$E$88*(Costos!$K$5:$K$88&lt;=$A32)*(Costos!$L$5:$L$88&gt;$A32))</f>
        <v>0.5</v>
      </c>
      <c r="M32" s="48" t="n">
        <f aca="false">SUMPRODUCT((Costos!$C$5:$C$88=M$4)*Costos!$E$5:$E$88*(Costos!$K$5:$K$88&lt;=$A32)*(Costos!$L$5:$L$88&gt;$A32))</f>
        <v>0.4</v>
      </c>
      <c r="N32" s="48" t="n">
        <f aca="false">SUMPRODUCT((Costos!$C$5:$C$88=N$4)*Costos!$E$5:$E$88*(Costos!$K$5:$K$88&lt;=$A32)*(Costos!$L$5:$L$88&gt;$A32))</f>
        <v>0</v>
      </c>
    </row>
    <row r="33" customFormat="false" ht="15" hidden="false" customHeight="false" outlineLevel="0" collapsed="false">
      <c r="A33" s="26" t="n">
        <v>28</v>
      </c>
      <c r="B33" s="47" t="n">
        <f aca="false">INDEX(Calendario!$B$3:$B$172,A33+1)</f>
        <v>46337</v>
      </c>
      <c r="C33" s="48" t="n">
        <f aca="false">SUMPRODUCT((Costos!$C$5:$C$88=C$4)*Costos!$E$5:$E$88*(Costos!$K$5:$K$88&lt;=$A33)*(Costos!$L$5:$L$88&gt;$A33))</f>
        <v>0.5</v>
      </c>
      <c r="D33" s="48" t="n">
        <f aca="false">SUMPRODUCT((Costos!$C$5:$C$88=D$4)*Costos!$E$5:$E$88*(Costos!$K$5:$K$88&lt;=$A33)*(Costos!$L$5:$L$88&gt;$A33))</f>
        <v>0.2</v>
      </c>
      <c r="E33" s="48" t="n">
        <f aca="false">SUMPRODUCT((Costos!$C$5:$C$88=E$4)*Costos!$E$5:$E$88*(Costos!$K$5:$K$88&lt;=$A33)*(Costos!$L$5:$L$88&gt;$A33))</f>
        <v>1</v>
      </c>
      <c r="F33" s="48" t="n">
        <f aca="false">SUMPRODUCT((Costos!$C$5:$C$88=F$4)*Costos!$E$5:$E$88*(Costos!$K$5:$K$88&lt;=$A33)*(Costos!$L$5:$L$88&gt;$A33))</f>
        <v>2</v>
      </c>
      <c r="G33" s="48" t="n">
        <f aca="false">SUMPRODUCT((Costos!$C$5:$C$88=G$4)*Costos!$E$5:$E$88*(Costos!$K$5:$K$88&lt;=$A33)*(Costos!$L$5:$L$88&gt;$A33))</f>
        <v>0.4</v>
      </c>
      <c r="H33" s="48" t="n">
        <f aca="false">SUMPRODUCT((Costos!$C$5:$C$88=H$4)*Costos!$E$5:$E$88*(Costos!$K$5:$K$88&lt;=$A33)*(Costos!$L$5:$L$88&gt;$A33))</f>
        <v>2</v>
      </c>
      <c r="I33" s="48" t="n">
        <f aca="false">SUMPRODUCT((Costos!$C$5:$C$88=I$4)*Costos!$E$5:$E$88*(Costos!$K$5:$K$88&lt;=$A33)*(Costos!$L$5:$L$88&gt;$A33))</f>
        <v>0.2</v>
      </c>
      <c r="J33" s="48" t="n">
        <f aca="false">SUMPRODUCT((Costos!$C$5:$C$88=J$4)*Costos!$E$5:$E$88*(Costos!$K$5:$K$88&lt;=$A33)*(Costos!$L$5:$L$88&gt;$A33))</f>
        <v>1</v>
      </c>
      <c r="K33" s="48" t="n">
        <f aca="false">SUMPRODUCT((Costos!$C$5:$C$88=K$4)*Costos!$E$5:$E$88*(Costos!$K$5:$K$88&lt;=$A33)*(Costos!$L$5:$L$88&gt;$A33))</f>
        <v>0.5</v>
      </c>
      <c r="L33" s="48" t="n">
        <f aca="false">SUMPRODUCT((Costos!$C$5:$C$88=L$4)*Costos!$E$5:$E$88*(Costos!$K$5:$K$88&lt;=$A33)*(Costos!$L$5:$L$88&gt;$A33))</f>
        <v>0.5</v>
      </c>
      <c r="M33" s="48" t="n">
        <f aca="false">SUMPRODUCT((Costos!$C$5:$C$88=M$4)*Costos!$E$5:$E$88*(Costos!$K$5:$K$88&lt;=$A33)*(Costos!$L$5:$L$88&gt;$A33))</f>
        <v>0.4</v>
      </c>
      <c r="N33" s="48" t="n">
        <f aca="false">SUMPRODUCT((Costos!$C$5:$C$88=N$4)*Costos!$E$5:$E$88*(Costos!$K$5:$K$88&lt;=$A33)*(Costos!$L$5:$L$88&gt;$A33))</f>
        <v>0</v>
      </c>
    </row>
    <row r="34" customFormat="false" ht="15" hidden="false" customHeight="false" outlineLevel="0" collapsed="false">
      <c r="A34" s="26" t="n">
        <v>29</v>
      </c>
      <c r="B34" s="47" t="n">
        <f aca="false">INDEX(Calendario!$B$3:$B$172,A34+1)</f>
        <v>46338</v>
      </c>
      <c r="C34" s="48" t="n">
        <f aca="false">SUMPRODUCT((Costos!$C$5:$C$88=C$4)*Costos!$E$5:$E$88*(Costos!$K$5:$K$88&lt;=$A34)*(Costos!$L$5:$L$88&gt;$A34))</f>
        <v>0.5</v>
      </c>
      <c r="D34" s="48" t="n">
        <f aca="false">SUMPRODUCT((Costos!$C$5:$C$88=D$4)*Costos!$E$5:$E$88*(Costos!$K$5:$K$88&lt;=$A34)*(Costos!$L$5:$L$88&gt;$A34))</f>
        <v>0.2</v>
      </c>
      <c r="E34" s="48" t="n">
        <f aca="false">SUMPRODUCT((Costos!$C$5:$C$88=E$4)*Costos!$E$5:$E$88*(Costos!$K$5:$K$88&lt;=$A34)*(Costos!$L$5:$L$88&gt;$A34))</f>
        <v>1</v>
      </c>
      <c r="F34" s="48" t="n">
        <f aca="false">SUMPRODUCT((Costos!$C$5:$C$88=F$4)*Costos!$E$5:$E$88*(Costos!$K$5:$K$88&lt;=$A34)*(Costos!$L$5:$L$88&gt;$A34))</f>
        <v>2</v>
      </c>
      <c r="G34" s="48" t="n">
        <f aca="false">SUMPRODUCT((Costos!$C$5:$C$88=G$4)*Costos!$E$5:$E$88*(Costos!$K$5:$K$88&lt;=$A34)*(Costos!$L$5:$L$88&gt;$A34))</f>
        <v>0.4</v>
      </c>
      <c r="H34" s="48" t="n">
        <f aca="false">SUMPRODUCT((Costos!$C$5:$C$88=H$4)*Costos!$E$5:$E$88*(Costos!$K$5:$K$88&lt;=$A34)*(Costos!$L$5:$L$88&gt;$A34))</f>
        <v>2</v>
      </c>
      <c r="I34" s="48" t="n">
        <f aca="false">SUMPRODUCT((Costos!$C$5:$C$88=I$4)*Costos!$E$5:$E$88*(Costos!$K$5:$K$88&lt;=$A34)*(Costos!$L$5:$L$88&gt;$A34))</f>
        <v>0.2</v>
      </c>
      <c r="J34" s="48" t="n">
        <f aca="false">SUMPRODUCT((Costos!$C$5:$C$88=J$4)*Costos!$E$5:$E$88*(Costos!$K$5:$K$88&lt;=$A34)*(Costos!$L$5:$L$88&gt;$A34))</f>
        <v>1</v>
      </c>
      <c r="K34" s="48" t="n">
        <f aca="false">SUMPRODUCT((Costos!$C$5:$C$88=K$4)*Costos!$E$5:$E$88*(Costos!$K$5:$K$88&lt;=$A34)*(Costos!$L$5:$L$88&gt;$A34))</f>
        <v>0.5</v>
      </c>
      <c r="L34" s="48" t="n">
        <f aca="false">SUMPRODUCT((Costos!$C$5:$C$88=L$4)*Costos!$E$5:$E$88*(Costos!$K$5:$K$88&lt;=$A34)*(Costos!$L$5:$L$88&gt;$A34))</f>
        <v>0.5</v>
      </c>
      <c r="M34" s="48" t="n">
        <f aca="false">SUMPRODUCT((Costos!$C$5:$C$88=M$4)*Costos!$E$5:$E$88*(Costos!$K$5:$K$88&lt;=$A34)*(Costos!$L$5:$L$88&gt;$A34))</f>
        <v>0.4</v>
      </c>
      <c r="N34" s="48" t="n">
        <f aca="false">SUMPRODUCT((Costos!$C$5:$C$88=N$4)*Costos!$E$5:$E$88*(Costos!$K$5:$K$88&lt;=$A34)*(Costos!$L$5:$L$88&gt;$A34))</f>
        <v>0</v>
      </c>
    </row>
    <row r="35" customFormat="false" ht="15" hidden="false" customHeight="false" outlineLevel="0" collapsed="false">
      <c r="A35" s="26" t="n">
        <v>30</v>
      </c>
      <c r="B35" s="47" t="n">
        <f aca="false">INDEX(Calendario!$B$3:$B$172,A35+1)</f>
        <v>46339</v>
      </c>
      <c r="C35" s="48" t="n">
        <f aca="false">SUMPRODUCT((Costos!$C$5:$C$88=C$4)*Costos!$E$5:$E$88*(Costos!$K$5:$K$88&lt;=$A35)*(Costos!$L$5:$L$88&gt;$A35))</f>
        <v>0.5</v>
      </c>
      <c r="D35" s="48" t="n">
        <f aca="false">SUMPRODUCT((Costos!$C$5:$C$88=D$4)*Costos!$E$5:$E$88*(Costos!$K$5:$K$88&lt;=$A35)*(Costos!$L$5:$L$88&gt;$A35))</f>
        <v>0.2</v>
      </c>
      <c r="E35" s="48" t="n">
        <f aca="false">SUMPRODUCT((Costos!$C$5:$C$88=E$4)*Costos!$E$5:$E$88*(Costos!$K$5:$K$88&lt;=$A35)*(Costos!$L$5:$L$88&gt;$A35))</f>
        <v>1</v>
      </c>
      <c r="F35" s="48" t="n">
        <f aca="false">SUMPRODUCT((Costos!$C$5:$C$88=F$4)*Costos!$E$5:$E$88*(Costos!$K$5:$K$88&lt;=$A35)*(Costos!$L$5:$L$88&gt;$A35))</f>
        <v>2</v>
      </c>
      <c r="G35" s="48" t="n">
        <f aca="false">SUMPRODUCT((Costos!$C$5:$C$88=G$4)*Costos!$E$5:$E$88*(Costos!$K$5:$K$88&lt;=$A35)*(Costos!$L$5:$L$88&gt;$A35))</f>
        <v>0.7</v>
      </c>
      <c r="H35" s="48" t="n">
        <f aca="false">SUMPRODUCT((Costos!$C$5:$C$88=H$4)*Costos!$E$5:$E$88*(Costos!$K$5:$K$88&lt;=$A35)*(Costos!$L$5:$L$88&gt;$A35))</f>
        <v>1</v>
      </c>
      <c r="I35" s="48" t="n">
        <f aca="false">SUMPRODUCT((Costos!$C$5:$C$88=I$4)*Costos!$E$5:$E$88*(Costos!$K$5:$K$88&lt;=$A35)*(Costos!$L$5:$L$88&gt;$A35))</f>
        <v>0.2</v>
      </c>
      <c r="J35" s="48" t="n">
        <f aca="false">SUMPRODUCT((Costos!$C$5:$C$88=J$4)*Costos!$E$5:$E$88*(Costos!$K$5:$K$88&lt;=$A35)*(Costos!$L$5:$L$88&gt;$A35))</f>
        <v>1</v>
      </c>
      <c r="K35" s="48" t="n">
        <f aca="false">SUMPRODUCT((Costos!$C$5:$C$88=K$4)*Costos!$E$5:$E$88*(Costos!$K$5:$K$88&lt;=$A35)*(Costos!$L$5:$L$88&gt;$A35))</f>
        <v>0</v>
      </c>
      <c r="L35" s="48" t="n">
        <f aca="false">SUMPRODUCT((Costos!$C$5:$C$88=L$4)*Costos!$E$5:$E$88*(Costos!$K$5:$K$88&lt;=$A35)*(Costos!$L$5:$L$88&gt;$A35))</f>
        <v>0.5</v>
      </c>
      <c r="M35" s="48" t="n">
        <f aca="false">SUMPRODUCT((Costos!$C$5:$C$88=M$4)*Costos!$E$5:$E$88*(Costos!$K$5:$K$88&lt;=$A35)*(Costos!$L$5:$L$88&gt;$A35))</f>
        <v>0.4</v>
      </c>
      <c r="N35" s="48" t="n">
        <f aca="false">SUMPRODUCT((Costos!$C$5:$C$88=N$4)*Costos!$E$5:$E$88*(Costos!$K$5:$K$88&lt;=$A35)*(Costos!$L$5:$L$88&gt;$A35))</f>
        <v>0</v>
      </c>
    </row>
    <row r="36" customFormat="false" ht="15" hidden="false" customHeight="false" outlineLevel="0" collapsed="false">
      <c r="A36" s="26" t="n">
        <v>31</v>
      </c>
      <c r="B36" s="47" t="n">
        <f aca="false">INDEX(Calendario!$B$3:$B$172,A36+1)</f>
        <v>46342</v>
      </c>
      <c r="C36" s="48" t="n">
        <f aca="false">SUMPRODUCT((Costos!$C$5:$C$88=C$4)*Costos!$E$5:$E$88*(Costos!$K$5:$K$88&lt;=$A36)*(Costos!$L$5:$L$88&gt;$A36))</f>
        <v>0.5</v>
      </c>
      <c r="D36" s="48" t="n">
        <f aca="false">SUMPRODUCT((Costos!$C$5:$C$88=D$4)*Costos!$E$5:$E$88*(Costos!$K$5:$K$88&lt;=$A36)*(Costos!$L$5:$L$88&gt;$A36))</f>
        <v>0.2</v>
      </c>
      <c r="E36" s="48" t="n">
        <f aca="false">SUMPRODUCT((Costos!$C$5:$C$88=E$4)*Costos!$E$5:$E$88*(Costos!$K$5:$K$88&lt;=$A36)*(Costos!$L$5:$L$88&gt;$A36))</f>
        <v>0.8</v>
      </c>
      <c r="F36" s="48" t="n">
        <f aca="false">SUMPRODUCT((Costos!$C$5:$C$88=F$4)*Costos!$E$5:$E$88*(Costos!$K$5:$K$88&lt;=$A36)*(Costos!$L$5:$L$88&gt;$A36))</f>
        <v>2</v>
      </c>
      <c r="G36" s="48" t="n">
        <f aca="false">SUMPRODUCT((Costos!$C$5:$C$88=G$4)*Costos!$E$5:$E$88*(Costos!$K$5:$K$88&lt;=$A36)*(Costos!$L$5:$L$88&gt;$A36))</f>
        <v>0.7</v>
      </c>
      <c r="H36" s="48" t="n">
        <f aca="false">SUMPRODUCT((Costos!$C$5:$C$88=H$4)*Costos!$E$5:$E$88*(Costos!$K$5:$K$88&lt;=$A36)*(Costos!$L$5:$L$88&gt;$A36))</f>
        <v>1</v>
      </c>
      <c r="I36" s="48" t="n">
        <f aca="false">SUMPRODUCT((Costos!$C$5:$C$88=I$4)*Costos!$E$5:$E$88*(Costos!$K$5:$K$88&lt;=$A36)*(Costos!$L$5:$L$88&gt;$A36))</f>
        <v>0.2</v>
      </c>
      <c r="J36" s="48" t="n">
        <f aca="false">SUMPRODUCT((Costos!$C$5:$C$88=J$4)*Costos!$E$5:$E$88*(Costos!$K$5:$K$88&lt;=$A36)*(Costos!$L$5:$L$88&gt;$A36))</f>
        <v>1</v>
      </c>
      <c r="K36" s="48" t="n">
        <f aca="false">SUMPRODUCT((Costos!$C$5:$C$88=K$4)*Costos!$E$5:$E$88*(Costos!$K$5:$K$88&lt;=$A36)*(Costos!$L$5:$L$88&gt;$A36))</f>
        <v>0</v>
      </c>
      <c r="L36" s="48" t="n">
        <f aca="false">SUMPRODUCT((Costos!$C$5:$C$88=L$4)*Costos!$E$5:$E$88*(Costos!$K$5:$K$88&lt;=$A36)*(Costos!$L$5:$L$88&gt;$A36))</f>
        <v>0.5</v>
      </c>
      <c r="M36" s="48" t="n">
        <f aca="false">SUMPRODUCT((Costos!$C$5:$C$88=M$4)*Costos!$E$5:$E$88*(Costos!$K$5:$K$88&lt;=$A36)*(Costos!$L$5:$L$88&gt;$A36))</f>
        <v>0.4</v>
      </c>
      <c r="N36" s="48" t="n">
        <f aca="false">SUMPRODUCT((Costos!$C$5:$C$88=N$4)*Costos!$E$5:$E$88*(Costos!$K$5:$K$88&lt;=$A36)*(Costos!$L$5:$L$88&gt;$A36))</f>
        <v>0</v>
      </c>
    </row>
    <row r="37" customFormat="false" ht="15" hidden="false" customHeight="false" outlineLevel="0" collapsed="false">
      <c r="A37" s="26" t="n">
        <v>32</v>
      </c>
      <c r="B37" s="47" t="n">
        <f aca="false">INDEX(Calendario!$B$3:$B$172,A37+1)</f>
        <v>46343</v>
      </c>
      <c r="C37" s="48" t="n">
        <f aca="false">SUMPRODUCT((Costos!$C$5:$C$88=C$4)*Costos!$E$5:$E$88*(Costos!$K$5:$K$88&lt;=$A37)*(Costos!$L$5:$L$88&gt;$A37))</f>
        <v>0.5</v>
      </c>
      <c r="D37" s="48" t="n">
        <f aca="false">SUMPRODUCT((Costos!$C$5:$C$88=D$4)*Costos!$E$5:$E$88*(Costos!$K$5:$K$88&lt;=$A37)*(Costos!$L$5:$L$88&gt;$A37))</f>
        <v>0.2</v>
      </c>
      <c r="E37" s="48" t="n">
        <f aca="false">SUMPRODUCT((Costos!$C$5:$C$88=E$4)*Costos!$E$5:$E$88*(Costos!$K$5:$K$88&lt;=$A37)*(Costos!$L$5:$L$88&gt;$A37))</f>
        <v>0.8</v>
      </c>
      <c r="F37" s="48" t="n">
        <f aca="false">SUMPRODUCT((Costos!$C$5:$C$88=F$4)*Costos!$E$5:$E$88*(Costos!$K$5:$K$88&lt;=$A37)*(Costos!$L$5:$L$88&gt;$A37))</f>
        <v>2</v>
      </c>
      <c r="G37" s="48" t="n">
        <f aca="false">SUMPRODUCT((Costos!$C$5:$C$88=G$4)*Costos!$E$5:$E$88*(Costos!$K$5:$K$88&lt;=$A37)*(Costos!$L$5:$L$88&gt;$A37))</f>
        <v>0.7</v>
      </c>
      <c r="H37" s="48" t="n">
        <f aca="false">SUMPRODUCT((Costos!$C$5:$C$88=H$4)*Costos!$E$5:$E$88*(Costos!$K$5:$K$88&lt;=$A37)*(Costos!$L$5:$L$88&gt;$A37))</f>
        <v>1</v>
      </c>
      <c r="I37" s="48" t="n">
        <f aca="false">SUMPRODUCT((Costos!$C$5:$C$88=I$4)*Costos!$E$5:$E$88*(Costos!$K$5:$K$88&lt;=$A37)*(Costos!$L$5:$L$88&gt;$A37))</f>
        <v>0.2</v>
      </c>
      <c r="J37" s="48" t="n">
        <f aca="false">SUMPRODUCT((Costos!$C$5:$C$88=J$4)*Costos!$E$5:$E$88*(Costos!$K$5:$K$88&lt;=$A37)*(Costos!$L$5:$L$88&gt;$A37))</f>
        <v>1</v>
      </c>
      <c r="K37" s="48" t="n">
        <f aca="false">SUMPRODUCT((Costos!$C$5:$C$88=K$4)*Costos!$E$5:$E$88*(Costos!$K$5:$K$88&lt;=$A37)*(Costos!$L$5:$L$88&gt;$A37))</f>
        <v>0</v>
      </c>
      <c r="L37" s="48" t="n">
        <f aca="false">SUMPRODUCT((Costos!$C$5:$C$88=L$4)*Costos!$E$5:$E$88*(Costos!$K$5:$K$88&lt;=$A37)*(Costos!$L$5:$L$88&gt;$A37))</f>
        <v>0.5</v>
      </c>
      <c r="M37" s="48" t="n">
        <f aca="false">SUMPRODUCT((Costos!$C$5:$C$88=M$4)*Costos!$E$5:$E$88*(Costos!$K$5:$K$88&lt;=$A37)*(Costos!$L$5:$L$88&gt;$A37))</f>
        <v>0.4</v>
      </c>
      <c r="N37" s="48" t="n">
        <f aca="false">SUMPRODUCT((Costos!$C$5:$C$88=N$4)*Costos!$E$5:$E$88*(Costos!$K$5:$K$88&lt;=$A37)*(Costos!$L$5:$L$88&gt;$A37))</f>
        <v>0</v>
      </c>
    </row>
    <row r="38" customFormat="false" ht="15" hidden="false" customHeight="false" outlineLevel="0" collapsed="false">
      <c r="A38" s="26" t="n">
        <v>33</v>
      </c>
      <c r="B38" s="47" t="n">
        <f aca="false">INDEX(Calendario!$B$3:$B$172,A38+1)</f>
        <v>46344</v>
      </c>
      <c r="C38" s="48" t="n">
        <f aca="false">SUMPRODUCT((Costos!$C$5:$C$88=C$4)*Costos!$E$5:$E$88*(Costos!$K$5:$K$88&lt;=$A38)*(Costos!$L$5:$L$88&gt;$A38))</f>
        <v>0.7</v>
      </c>
      <c r="D38" s="48" t="n">
        <f aca="false">SUMPRODUCT((Costos!$C$5:$C$88=D$4)*Costos!$E$5:$E$88*(Costos!$K$5:$K$88&lt;=$A38)*(Costos!$L$5:$L$88&gt;$A38))</f>
        <v>0.5</v>
      </c>
      <c r="E38" s="48" t="n">
        <f aca="false">SUMPRODUCT((Costos!$C$5:$C$88=E$4)*Costos!$E$5:$E$88*(Costos!$K$5:$K$88&lt;=$A38)*(Costos!$L$5:$L$88&gt;$A38))</f>
        <v>0.25</v>
      </c>
      <c r="F38" s="48" t="n">
        <f aca="false">SUMPRODUCT((Costos!$C$5:$C$88=F$4)*Costos!$E$5:$E$88*(Costos!$K$5:$K$88&lt;=$A38)*(Costos!$L$5:$L$88&gt;$A38))</f>
        <v>2</v>
      </c>
      <c r="G38" s="48" t="n">
        <f aca="false">SUMPRODUCT((Costos!$C$5:$C$88=G$4)*Costos!$E$5:$E$88*(Costos!$K$5:$K$88&lt;=$A38)*(Costos!$L$5:$L$88&gt;$A38))</f>
        <v>1</v>
      </c>
      <c r="H38" s="48" t="n">
        <f aca="false">SUMPRODUCT((Costos!$C$5:$C$88=H$4)*Costos!$E$5:$E$88*(Costos!$K$5:$K$88&lt;=$A38)*(Costos!$L$5:$L$88&gt;$A38))</f>
        <v>1</v>
      </c>
      <c r="I38" s="48" t="n">
        <f aca="false">SUMPRODUCT((Costos!$C$5:$C$88=I$4)*Costos!$E$5:$E$88*(Costos!$K$5:$K$88&lt;=$A38)*(Costos!$L$5:$L$88&gt;$A38))</f>
        <v>0</v>
      </c>
      <c r="J38" s="48" t="n">
        <f aca="false">SUMPRODUCT((Costos!$C$5:$C$88=J$4)*Costos!$E$5:$E$88*(Costos!$K$5:$K$88&lt;=$A38)*(Costos!$L$5:$L$88&gt;$A38))</f>
        <v>1</v>
      </c>
      <c r="K38" s="48" t="n">
        <f aca="false">SUMPRODUCT((Costos!$C$5:$C$88=K$4)*Costos!$E$5:$E$88*(Costos!$K$5:$K$88&lt;=$A38)*(Costos!$L$5:$L$88&gt;$A38))</f>
        <v>0.3</v>
      </c>
      <c r="L38" s="48" t="n">
        <f aca="false">SUMPRODUCT((Costos!$C$5:$C$88=L$4)*Costos!$E$5:$E$88*(Costos!$K$5:$K$88&lt;=$A38)*(Costos!$L$5:$L$88&gt;$A38))</f>
        <v>0.2</v>
      </c>
      <c r="M38" s="48" t="n">
        <f aca="false">SUMPRODUCT((Costos!$C$5:$C$88=M$4)*Costos!$E$5:$E$88*(Costos!$K$5:$K$88&lt;=$A38)*(Costos!$L$5:$L$88&gt;$A38))</f>
        <v>0.5</v>
      </c>
      <c r="N38" s="48" t="n">
        <f aca="false">SUMPRODUCT((Costos!$C$5:$C$88=N$4)*Costos!$E$5:$E$88*(Costos!$K$5:$K$88&lt;=$A38)*(Costos!$L$5:$L$88&gt;$A38))</f>
        <v>0</v>
      </c>
    </row>
    <row r="39" customFormat="false" ht="15" hidden="false" customHeight="false" outlineLevel="0" collapsed="false">
      <c r="A39" s="26" t="n">
        <v>34</v>
      </c>
      <c r="B39" s="47" t="n">
        <f aca="false">INDEX(Calendario!$B$3:$B$172,A39+1)</f>
        <v>46345</v>
      </c>
      <c r="C39" s="48" t="n">
        <f aca="false">SUMPRODUCT((Costos!$C$5:$C$88=C$4)*Costos!$E$5:$E$88*(Costos!$K$5:$K$88&lt;=$A39)*(Costos!$L$5:$L$88&gt;$A39))</f>
        <v>0.7</v>
      </c>
      <c r="D39" s="48" t="n">
        <f aca="false">SUMPRODUCT((Costos!$C$5:$C$88=D$4)*Costos!$E$5:$E$88*(Costos!$K$5:$K$88&lt;=$A39)*(Costos!$L$5:$L$88&gt;$A39))</f>
        <v>0.5</v>
      </c>
      <c r="E39" s="48" t="n">
        <f aca="false">SUMPRODUCT((Costos!$C$5:$C$88=E$4)*Costos!$E$5:$E$88*(Costos!$K$5:$K$88&lt;=$A39)*(Costos!$L$5:$L$88&gt;$A39))</f>
        <v>0.25</v>
      </c>
      <c r="F39" s="48" t="n">
        <f aca="false">SUMPRODUCT((Costos!$C$5:$C$88=F$4)*Costos!$E$5:$E$88*(Costos!$K$5:$K$88&lt;=$A39)*(Costos!$L$5:$L$88&gt;$A39))</f>
        <v>2</v>
      </c>
      <c r="G39" s="48" t="n">
        <f aca="false">SUMPRODUCT((Costos!$C$5:$C$88=G$4)*Costos!$E$5:$E$88*(Costos!$K$5:$K$88&lt;=$A39)*(Costos!$L$5:$L$88&gt;$A39))</f>
        <v>1</v>
      </c>
      <c r="H39" s="48" t="n">
        <f aca="false">SUMPRODUCT((Costos!$C$5:$C$88=H$4)*Costos!$E$5:$E$88*(Costos!$K$5:$K$88&lt;=$A39)*(Costos!$L$5:$L$88&gt;$A39))</f>
        <v>1</v>
      </c>
      <c r="I39" s="48" t="n">
        <f aca="false">SUMPRODUCT((Costos!$C$5:$C$88=I$4)*Costos!$E$5:$E$88*(Costos!$K$5:$K$88&lt;=$A39)*(Costos!$L$5:$L$88&gt;$A39))</f>
        <v>0</v>
      </c>
      <c r="J39" s="48" t="n">
        <f aca="false">SUMPRODUCT((Costos!$C$5:$C$88=J$4)*Costos!$E$5:$E$88*(Costos!$K$5:$K$88&lt;=$A39)*(Costos!$L$5:$L$88&gt;$A39))</f>
        <v>1</v>
      </c>
      <c r="K39" s="48" t="n">
        <f aca="false">SUMPRODUCT((Costos!$C$5:$C$88=K$4)*Costos!$E$5:$E$88*(Costos!$K$5:$K$88&lt;=$A39)*(Costos!$L$5:$L$88&gt;$A39))</f>
        <v>0.3</v>
      </c>
      <c r="L39" s="48" t="n">
        <f aca="false">SUMPRODUCT((Costos!$C$5:$C$88=L$4)*Costos!$E$5:$E$88*(Costos!$K$5:$K$88&lt;=$A39)*(Costos!$L$5:$L$88&gt;$A39))</f>
        <v>0.2</v>
      </c>
      <c r="M39" s="48" t="n">
        <f aca="false">SUMPRODUCT((Costos!$C$5:$C$88=M$4)*Costos!$E$5:$E$88*(Costos!$K$5:$K$88&lt;=$A39)*(Costos!$L$5:$L$88&gt;$A39))</f>
        <v>0.5</v>
      </c>
      <c r="N39" s="48" t="n">
        <f aca="false">SUMPRODUCT((Costos!$C$5:$C$88=N$4)*Costos!$E$5:$E$88*(Costos!$K$5:$K$88&lt;=$A39)*(Costos!$L$5:$L$88&gt;$A39))</f>
        <v>0</v>
      </c>
    </row>
    <row r="40" customFormat="false" ht="15" hidden="false" customHeight="false" outlineLevel="0" collapsed="false">
      <c r="A40" s="26" t="n">
        <v>35</v>
      </c>
      <c r="B40" s="47" t="n">
        <f aca="false">INDEX(Calendario!$B$3:$B$172,A40+1)</f>
        <v>46346</v>
      </c>
      <c r="C40" s="48" t="n">
        <f aca="false">SUMPRODUCT((Costos!$C$5:$C$88=C$4)*Costos!$E$5:$E$88*(Costos!$K$5:$K$88&lt;=$A40)*(Costos!$L$5:$L$88&gt;$A40))</f>
        <v>0.7</v>
      </c>
      <c r="D40" s="48" t="n">
        <f aca="false">SUMPRODUCT((Costos!$C$5:$C$88=D$4)*Costos!$E$5:$E$88*(Costos!$K$5:$K$88&lt;=$A40)*(Costos!$L$5:$L$88&gt;$A40))</f>
        <v>0.5</v>
      </c>
      <c r="E40" s="48" t="n">
        <f aca="false">SUMPRODUCT((Costos!$C$5:$C$88=E$4)*Costos!$E$5:$E$88*(Costos!$K$5:$K$88&lt;=$A40)*(Costos!$L$5:$L$88&gt;$A40))</f>
        <v>0.25</v>
      </c>
      <c r="F40" s="48" t="n">
        <f aca="false">SUMPRODUCT((Costos!$C$5:$C$88=F$4)*Costos!$E$5:$E$88*(Costos!$K$5:$K$88&lt;=$A40)*(Costos!$L$5:$L$88&gt;$A40))</f>
        <v>2</v>
      </c>
      <c r="G40" s="48" t="n">
        <f aca="false">SUMPRODUCT((Costos!$C$5:$C$88=G$4)*Costos!$E$5:$E$88*(Costos!$K$5:$K$88&lt;=$A40)*(Costos!$L$5:$L$88&gt;$A40))</f>
        <v>1</v>
      </c>
      <c r="H40" s="48" t="n">
        <f aca="false">SUMPRODUCT((Costos!$C$5:$C$88=H$4)*Costos!$E$5:$E$88*(Costos!$K$5:$K$88&lt;=$A40)*(Costos!$L$5:$L$88&gt;$A40))</f>
        <v>1</v>
      </c>
      <c r="I40" s="48" t="n">
        <f aca="false">SUMPRODUCT((Costos!$C$5:$C$88=I$4)*Costos!$E$5:$E$88*(Costos!$K$5:$K$88&lt;=$A40)*(Costos!$L$5:$L$88&gt;$A40))</f>
        <v>0</v>
      </c>
      <c r="J40" s="48" t="n">
        <f aca="false">SUMPRODUCT((Costos!$C$5:$C$88=J$4)*Costos!$E$5:$E$88*(Costos!$K$5:$K$88&lt;=$A40)*(Costos!$L$5:$L$88&gt;$A40))</f>
        <v>1</v>
      </c>
      <c r="K40" s="48" t="n">
        <f aca="false">SUMPRODUCT((Costos!$C$5:$C$88=K$4)*Costos!$E$5:$E$88*(Costos!$K$5:$K$88&lt;=$A40)*(Costos!$L$5:$L$88&gt;$A40))</f>
        <v>0.3</v>
      </c>
      <c r="L40" s="48" t="n">
        <f aca="false">SUMPRODUCT((Costos!$C$5:$C$88=L$4)*Costos!$E$5:$E$88*(Costos!$K$5:$K$88&lt;=$A40)*(Costos!$L$5:$L$88&gt;$A40))</f>
        <v>0.2</v>
      </c>
      <c r="M40" s="48" t="n">
        <f aca="false">SUMPRODUCT((Costos!$C$5:$C$88=M$4)*Costos!$E$5:$E$88*(Costos!$K$5:$K$88&lt;=$A40)*(Costos!$L$5:$L$88&gt;$A40))</f>
        <v>0.5</v>
      </c>
      <c r="N40" s="48" t="n">
        <f aca="false">SUMPRODUCT((Costos!$C$5:$C$88=N$4)*Costos!$E$5:$E$88*(Costos!$K$5:$K$88&lt;=$A40)*(Costos!$L$5:$L$88&gt;$A40))</f>
        <v>0</v>
      </c>
    </row>
    <row r="41" customFormat="false" ht="15" hidden="false" customHeight="false" outlineLevel="0" collapsed="false">
      <c r="A41" s="26" t="n">
        <v>36</v>
      </c>
      <c r="B41" s="47" t="n">
        <f aca="false">INDEX(Calendario!$B$3:$B$172,A41+1)</f>
        <v>46350</v>
      </c>
      <c r="C41" s="48" t="n">
        <f aca="false">SUMPRODUCT((Costos!$C$5:$C$88=C$4)*Costos!$E$5:$E$88*(Costos!$K$5:$K$88&lt;=$A41)*(Costos!$L$5:$L$88&gt;$A41))</f>
        <v>0.7</v>
      </c>
      <c r="D41" s="48" t="n">
        <f aca="false">SUMPRODUCT((Costos!$C$5:$C$88=D$4)*Costos!$E$5:$E$88*(Costos!$K$5:$K$88&lt;=$A41)*(Costos!$L$5:$L$88&gt;$A41))</f>
        <v>0.5</v>
      </c>
      <c r="E41" s="48" t="n">
        <f aca="false">SUMPRODUCT((Costos!$C$5:$C$88=E$4)*Costos!$E$5:$E$88*(Costos!$K$5:$K$88&lt;=$A41)*(Costos!$L$5:$L$88&gt;$A41))</f>
        <v>0.25</v>
      </c>
      <c r="F41" s="48" t="n">
        <f aca="false">SUMPRODUCT((Costos!$C$5:$C$88=F$4)*Costos!$E$5:$E$88*(Costos!$K$5:$K$88&lt;=$A41)*(Costos!$L$5:$L$88&gt;$A41))</f>
        <v>2</v>
      </c>
      <c r="G41" s="48" t="n">
        <f aca="false">SUMPRODUCT((Costos!$C$5:$C$88=G$4)*Costos!$E$5:$E$88*(Costos!$K$5:$K$88&lt;=$A41)*(Costos!$L$5:$L$88&gt;$A41))</f>
        <v>1</v>
      </c>
      <c r="H41" s="48" t="n">
        <f aca="false">SUMPRODUCT((Costos!$C$5:$C$88=H$4)*Costos!$E$5:$E$88*(Costos!$K$5:$K$88&lt;=$A41)*(Costos!$L$5:$L$88&gt;$A41))</f>
        <v>1</v>
      </c>
      <c r="I41" s="48" t="n">
        <f aca="false">SUMPRODUCT((Costos!$C$5:$C$88=I$4)*Costos!$E$5:$E$88*(Costos!$K$5:$K$88&lt;=$A41)*(Costos!$L$5:$L$88&gt;$A41))</f>
        <v>0</v>
      </c>
      <c r="J41" s="48" t="n">
        <f aca="false">SUMPRODUCT((Costos!$C$5:$C$88=J$4)*Costos!$E$5:$E$88*(Costos!$K$5:$K$88&lt;=$A41)*(Costos!$L$5:$L$88&gt;$A41))</f>
        <v>1</v>
      </c>
      <c r="K41" s="48" t="n">
        <f aca="false">SUMPRODUCT((Costos!$C$5:$C$88=K$4)*Costos!$E$5:$E$88*(Costos!$K$5:$K$88&lt;=$A41)*(Costos!$L$5:$L$88&gt;$A41))</f>
        <v>0.3</v>
      </c>
      <c r="L41" s="48" t="n">
        <f aca="false">SUMPRODUCT((Costos!$C$5:$C$88=L$4)*Costos!$E$5:$E$88*(Costos!$K$5:$K$88&lt;=$A41)*(Costos!$L$5:$L$88&gt;$A41))</f>
        <v>0.2</v>
      </c>
      <c r="M41" s="48" t="n">
        <f aca="false">SUMPRODUCT((Costos!$C$5:$C$88=M$4)*Costos!$E$5:$E$88*(Costos!$K$5:$K$88&lt;=$A41)*(Costos!$L$5:$L$88&gt;$A41))</f>
        <v>0.5</v>
      </c>
      <c r="N41" s="48" t="n">
        <f aca="false">SUMPRODUCT((Costos!$C$5:$C$88=N$4)*Costos!$E$5:$E$88*(Costos!$K$5:$K$88&lt;=$A41)*(Costos!$L$5:$L$88&gt;$A41))</f>
        <v>0</v>
      </c>
    </row>
    <row r="42" customFormat="false" ht="15" hidden="false" customHeight="false" outlineLevel="0" collapsed="false">
      <c r="A42" s="26" t="n">
        <v>37</v>
      </c>
      <c r="B42" s="47" t="n">
        <f aca="false">INDEX(Calendario!$B$3:$B$172,A42+1)</f>
        <v>46351</v>
      </c>
      <c r="C42" s="48" t="n">
        <f aca="false">SUMPRODUCT((Costos!$C$5:$C$88=C$4)*Costos!$E$5:$E$88*(Costos!$K$5:$K$88&lt;=$A42)*(Costos!$L$5:$L$88&gt;$A42))</f>
        <v>0.7</v>
      </c>
      <c r="D42" s="48" t="n">
        <f aca="false">SUMPRODUCT((Costos!$C$5:$C$88=D$4)*Costos!$E$5:$E$88*(Costos!$K$5:$K$88&lt;=$A42)*(Costos!$L$5:$L$88&gt;$A42))</f>
        <v>0.5</v>
      </c>
      <c r="E42" s="48" t="n">
        <f aca="false">SUMPRODUCT((Costos!$C$5:$C$88=E$4)*Costos!$E$5:$E$88*(Costos!$K$5:$K$88&lt;=$A42)*(Costos!$L$5:$L$88&gt;$A42))</f>
        <v>0.25</v>
      </c>
      <c r="F42" s="48" t="n">
        <f aca="false">SUMPRODUCT((Costos!$C$5:$C$88=F$4)*Costos!$E$5:$E$88*(Costos!$K$5:$K$88&lt;=$A42)*(Costos!$L$5:$L$88&gt;$A42))</f>
        <v>2</v>
      </c>
      <c r="G42" s="48" t="n">
        <f aca="false">SUMPRODUCT((Costos!$C$5:$C$88=G$4)*Costos!$E$5:$E$88*(Costos!$K$5:$K$88&lt;=$A42)*(Costos!$L$5:$L$88&gt;$A42))</f>
        <v>1</v>
      </c>
      <c r="H42" s="48" t="n">
        <f aca="false">SUMPRODUCT((Costos!$C$5:$C$88=H$4)*Costos!$E$5:$E$88*(Costos!$K$5:$K$88&lt;=$A42)*(Costos!$L$5:$L$88&gt;$A42))</f>
        <v>1</v>
      </c>
      <c r="I42" s="48" t="n">
        <f aca="false">SUMPRODUCT((Costos!$C$5:$C$88=I$4)*Costos!$E$5:$E$88*(Costos!$K$5:$K$88&lt;=$A42)*(Costos!$L$5:$L$88&gt;$A42))</f>
        <v>0</v>
      </c>
      <c r="J42" s="48" t="n">
        <f aca="false">SUMPRODUCT((Costos!$C$5:$C$88=J$4)*Costos!$E$5:$E$88*(Costos!$K$5:$K$88&lt;=$A42)*(Costos!$L$5:$L$88&gt;$A42))</f>
        <v>1</v>
      </c>
      <c r="K42" s="48" t="n">
        <f aca="false">SUMPRODUCT((Costos!$C$5:$C$88=K$4)*Costos!$E$5:$E$88*(Costos!$K$5:$K$88&lt;=$A42)*(Costos!$L$5:$L$88&gt;$A42))</f>
        <v>0.3</v>
      </c>
      <c r="L42" s="48" t="n">
        <f aca="false">SUMPRODUCT((Costos!$C$5:$C$88=L$4)*Costos!$E$5:$E$88*(Costos!$K$5:$K$88&lt;=$A42)*(Costos!$L$5:$L$88&gt;$A42))</f>
        <v>0.2</v>
      </c>
      <c r="M42" s="48" t="n">
        <f aca="false">SUMPRODUCT((Costos!$C$5:$C$88=M$4)*Costos!$E$5:$E$88*(Costos!$K$5:$K$88&lt;=$A42)*(Costos!$L$5:$L$88&gt;$A42))</f>
        <v>0.5</v>
      </c>
      <c r="N42" s="48" t="n">
        <f aca="false">SUMPRODUCT((Costos!$C$5:$C$88=N$4)*Costos!$E$5:$E$88*(Costos!$K$5:$K$88&lt;=$A42)*(Costos!$L$5:$L$88&gt;$A42))</f>
        <v>0</v>
      </c>
    </row>
    <row r="43" customFormat="false" ht="15" hidden="false" customHeight="false" outlineLevel="0" collapsed="false">
      <c r="A43" s="26" t="n">
        <v>38</v>
      </c>
      <c r="B43" s="47" t="n">
        <f aca="false">INDEX(Calendario!$B$3:$B$172,A43+1)</f>
        <v>46352</v>
      </c>
      <c r="C43" s="48" t="n">
        <f aca="false">SUMPRODUCT((Costos!$C$5:$C$88=C$4)*Costos!$E$5:$E$88*(Costos!$K$5:$K$88&lt;=$A43)*(Costos!$L$5:$L$88&gt;$A43))</f>
        <v>0.7</v>
      </c>
      <c r="D43" s="48" t="n">
        <f aca="false">SUMPRODUCT((Costos!$C$5:$C$88=D$4)*Costos!$E$5:$E$88*(Costos!$K$5:$K$88&lt;=$A43)*(Costos!$L$5:$L$88&gt;$A43))</f>
        <v>0.5</v>
      </c>
      <c r="E43" s="48" t="n">
        <f aca="false">SUMPRODUCT((Costos!$C$5:$C$88=E$4)*Costos!$E$5:$E$88*(Costos!$K$5:$K$88&lt;=$A43)*(Costos!$L$5:$L$88&gt;$A43))</f>
        <v>0.25</v>
      </c>
      <c r="F43" s="48" t="n">
        <f aca="false">SUMPRODUCT((Costos!$C$5:$C$88=F$4)*Costos!$E$5:$E$88*(Costos!$K$5:$K$88&lt;=$A43)*(Costos!$L$5:$L$88&gt;$A43))</f>
        <v>2</v>
      </c>
      <c r="G43" s="48" t="n">
        <f aca="false">SUMPRODUCT((Costos!$C$5:$C$88=G$4)*Costos!$E$5:$E$88*(Costos!$K$5:$K$88&lt;=$A43)*(Costos!$L$5:$L$88&gt;$A43))</f>
        <v>1</v>
      </c>
      <c r="H43" s="48" t="n">
        <f aca="false">SUMPRODUCT((Costos!$C$5:$C$88=H$4)*Costos!$E$5:$E$88*(Costos!$K$5:$K$88&lt;=$A43)*(Costos!$L$5:$L$88&gt;$A43))</f>
        <v>1</v>
      </c>
      <c r="I43" s="48" t="n">
        <f aca="false">SUMPRODUCT((Costos!$C$5:$C$88=I$4)*Costos!$E$5:$E$88*(Costos!$K$5:$K$88&lt;=$A43)*(Costos!$L$5:$L$88&gt;$A43))</f>
        <v>0</v>
      </c>
      <c r="J43" s="48" t="n">
        <f aca="false">SUMPRODUCT((Costos!$C$5:$C$88=J$4)*Costos!$E$5:$E$88*(Costos!$K$5:$K$88&lt;=$A43)*(Costos!$L$5:$L$88&gt;$A43))</f>
        <v>1</v>
      </c>
      <c r="K43" s="48" t="n">
        <f aca="false">SUMPRODUCT((Costos!$C$5:$C$88=K$4)*Costos!$E$5:$E$88*(Costos!$K$5:$K$88&lt;=$A43)*(Costos!$L$5:$L$88&gt;$A43))</f>
        <v>0.3</v>
      </c>
      <c r="L43" s="48" t="n">
        <f aca="false">SUMPRODUCT((Costos!$C$5:$C$88=L$4)*Costos!$E$5:$E$88*(Costos!$K$5:$K$88&lt;=$A43)*(Costos!$L$5:$L$88&gt;$A43))</f>
        <v>0.2</v>
      </c>
      <c r="M43" s="48" t="n">
        <f aca="false">SUMPRODUCT((Costos!$C$5:$C$88=M$4)*Costos!$E$5:$E$88*(Costos!$K$5:$K$88&lt;=$A43)*(Costos!$L$5:$L$88&gt;$A43))</f>
        <v>0.5</v>
      </c>
      <c r="N43" s="48" t="n">
        <f aca="false">SUMPRODUCT((Costos!$C$5:$C$88=N$4)*Costos!$E$5:$E$88*(Costos!$K$5:$K$88&lt;=$A43)*(Costos!$L$5:$L$88&gt;$A43))</f>
        <v>0</v>
      </c>
    </row>
    <row r="44" customFormat="false" ht="15" hidden="false" customHeight="false" outlineLevel="0" collapsed="false">
      <c r="A44" s="26" t="n">
        <v>39</v>
      </c>
      <c r="B44" s="47" t="n">
        <f aca="false">INDEX(Calendario!$B$3:$B$172,A44+1)</f>
        <v>46353</v>
      </c>
      <c r="C44" s="48" t="n">
        <f aca="false">SUMPRODUCT((Costos!$C$5:$C$88=C$4)*Costos!$E$5:$E$88*(Costos!$K$5:$K$88&lt;=$A44)*(Costos!$L$5:$L$88&gt;$A44))</f>
        <v>0.7</v>
      </c>
      <c r="D44" s="48" t="n">
        <f aca="false">SUMPRODUCT((Costos!$C$5:$C$88=D$4)*Costos!$E$5:$E$88*(Costos!$K$5:$K$88&lt;=$A44)*(Costos!$L$5:$L$88&gt;$A44))</f>
        <v>0.5</v>
      </c>
      <c r="E44" s="48" t="n">
        <f aca="false">SUMPRODUCT((Costos!$C$5:$C$88=E$4)*Costos!$E$5:$E$88*(Costos!$K$5:$K$88&lt;=$A44)*(Costos!$L$5:$L$88&gt;$A44))</f>
        <v>0.25</v>
      </c>
      <c r="F44" s="48" t="n">
        <f aca="false">SUMPRODUCT((Costos!$C$5:$C$88=F$4)*Costos!$E$5:$E$88*(Costos!$K$5:$K$88&lt;=$A44)*(Costos!$L$5:$L$88&gt;$A44))</f>
        <v>2</v>
      </c>
      <c r="G44" s="48" t="n">
        <f aca="false">SUMPRODUCT((Costos!$C$5:$C$88=G$4)*Costos!$E$5:$E$88*(Costos!$K$5:$K$88&lt;=$A44)*(Costos!$L$5:$L$88&gt;$A44))</f>
        <v>1</v>
      </c>
      <c r="H44" s="48" t="n">
        <f aca="false">SUMPRODUCT((Costos!$C$5:$C$88=H$4)*Costos!$E$5:$E$88*(Costos!$K$5:$K$88&lt;=$A44)*(Costos!$L$5:$L$88&gt;$A44))</f>
        <v>1</v>
      </c>
      <c r="I44" s="48" t="n">
        <f aca="false">SUMPRODUCT((Costos!$C$5:$C$88=I$4)*Costos!$E$5:$E$88*(Costos!$K$5:$K$88&lt;=$A44)*(Costos!$L$5:$L$88&gt;$A44))</f>
        <v>0</v>
      </c>
      <c r="J44" s="48" t="n">
        <f aca="false">SUMPRODUCT((Costos!$C$5:$C$88=J$4)*Costos!$E$5:$E$88*(Costos!$K$5:$K$88&lt;=$A44)*(Costos!$L$5:$L$88&gt;$A44))</f>
        <v>1</v>
      </c>
      <c r="K44" s="48" t="n">
        <f aca="false">SUMPRODUCT((Costos!$C$5:$C$88=K$4)*Costos!$E$5:$E$88*(Costos!$K$5:$K$88&lt;=$A44)*(Costos!$L$5:$L$88&gt;$A44))</f>
        <v>0.3</v>
      </c>
      <c r="L44" s="48" t="n">
        <f aca="false">SUMPRODUCT((Costos!$C$5:$C$88=L$4)*Costos!$E$5:$E$88*(Costos!$K$5:$K$88&lt;=$A44)*(Costos!$L$5:$L$88&gt;$A44))</f>
        <v>0.2</v>
      </c>
      <c r="M44" s="48" t="n">
        <f aca="false">SUMPRODUCT((Costos!$C$5:$C$88=M$4)*Costos!$E$5:$E$88*(Costos!$K$5:$K$88&lt;=$A44)*(Costos!$L$5:$L$88&gt;$A44))</f>
        <v>0.5</v>
      </c>
      <c r="N44" s="48" t="n">
        <f aca="false">SUMPRODUCT((Costos!$C$5:$C$88=N$4)*Costos!$E$5:$E$88*(Costos!$K$5:$K$88&lt;=$A44)*(Costos!$L$5:$L$88&gt;$A44))</f>
        <v>0</v>
      </c>
    </row>
    <row r="45" customFormat="false" ht="15" hidden="false" customHeight="false" outlineLevel="0" collapsed="false">
      <c r="A45" s="26" t="n">
        <v>40</v>
      </c>
      <c r="B45" s="47" t="n">
        <f aca="false">INDEX(Calendario!$B$3:$B$172,A45+1)</f>
        <v>46356</v>
      </c>
      <c r="C45" s="48" t="n">
        <f aca="false">SUMPRODUCT((Costos!$C$5:$C$88=C$4)*Costos!$E$5:$E$88*(Costos!$K$5:$K$88&lt;=$A45)*(Costos!$L$5:$L$88&gt;$A45))</f>
        <v>0.7</v>
      </c>
      <c r="D45" s="48" t="n">
        <f aca="false">SUMPRODUCT((Costos!$C$5:$C$88=D$4)*Costos!$E$5:$E$88*(Costos!$K$5:$K$88&lt;=$A45)*(Costos!$L$5:$L$88&gt;$A45))</f>
        <v>0.5</v>
      </c>
      <c r="E45" s="48" t="n">
        <f aca="false">SUMPRODUCT((Costos!$C$5:$C$88=E$4)*Costos!$E$5:$E$88*(Costos!$K$5:$K$88&lt;=$A45)*(Costos!$L$5:$L$88&gt;$A45))</f>
        <v>0.25</v>
      </c>
      <c r="F45" s="48" t="n">
        <f aca="false">SUMPRODUCT((Costos!$C$5:$C$88=F$4)*Costos!$E$5:$E$88*(Costos!$K$5:$K$88&lt;=$A45)*(Costos!$L$5:$L$88&gt;$A45))</f>
        <v>2</v>
      </c>
      <c r="G45" s="48" t="n">
        <f aca="false">SUMPRODUCT((Costos!$C$5:$C$88=G$4)*Costos!$E$5:$E$88*(Costos!$K$5:$K$88&lt;=$A45)*(Costos!$L$5:$L$88&gt;$A45))</f>
        <v>1</v>
      </c>
      <c r="H45" s="48" t="n">
        <f aca="false">SUMPRODUCT((Costos!$C$5:$C$88=H$4)*Costos!$E$5:$E$88*(Costos!$K$5:$K$88&lt;=$A45)*(Costos!$L$5:$L$88&gt;$A45))</f>
        <v>1</v>
      </c>
      <c r="I45" s="48" t="n">
        <f aca="false">SUMPRODUCT((Costos!$C$5:$C$88=I$4)*Costos!$E$5:$E$88*(Costos!$K$5:$K$88&lt;=$A45)*(Costos!$L$5:$L$88&gt;$A45))</f>
        <v>0</v>
      </c>
      <c r="J45" s="48" t="n">
        <f aca="false">SUMPRODUCT((Costos!$C$5:$C$88=J$4)*Costos!$E$5:$E$88*(Costos!$K$5:$K$88&lt;=$A45)*(Costos!$L$5:$L$88&gt;$A45))</f>
        <v>1</v>
      </c>
      <c r="K45" s="48" t="n">
        <f aca="false">SUMPRODUCT((Costos!$C$5:$C$88=K$4)*Costos!$E$5:$E$88*(Costos!$K$5:$K$88&lt;=$A45)*(Costos!$L$5:$L$88&gt;$A45))</f>
        <v>0.3</v>
      </c>
      <c r="L45" s="48" t="n">
        <f aca="false">SUMPRODUCT((Costos!$C$5:$C$88=L$4)*Costos!$E$5:$E$88*(Costos!$K$5:$K$88&lt;=$A45)*(Costos!$L$5:$L$88&gt;$A45))</f>
        <v>0.2</v>
      </c>
      <c r="M45" s="48" t="n">
        <f aca="false">SUMPRODUCT((Costos!$C$5:$C$88=M$4)*Costos!$E$5:$E$88*(Costos!$K$5:$K$88&lt;=$A45)*(Costos!$L$5:$L$88&gt;$A45))</f>
        <v>0.5</v>
      </c>
      <c r="N45" s="48" t="n">
        <f aca="false">SUMPRODUCT((Costos!$C$5:$C$88=N$4)*Costos!$E$5:$E$88*(Costos!$K$5:$K$88&lt;=$A45)*(Costos!$L$5:$L$88&gt;$A45))</f>
        <v>0</v>
      </c>
    </row>
    <row r="46" customFormat="false" ht="15" hidden="false" customHeight="false" outlineLevel="0" collapsed="false">
      <c r="A46" s="26" t="n">
        <v>41</v>
      </c>
      <c r="B46" s="47" t="n">
        <f aca="false">INDEX(Calendario!$B$3:$B$172,A46+1)</f>
        <v>46357</v>
      </c>
      <c r="C46" s="48" t="n">
        <f aca="false">SUMPRODUCT((Costos!$C$5:$C$88=C$4)*Costos!$E$5:$E$88*(Costos!$K$5:$K$88&lt;=$A46)*(Costos!$L$5:$L$88&gt;$A46))</f>
        <v>0.7</v>
      </c>
      <c r="D46" s="48" t="n">
        <f aca="false">SUMPRODUCT((Costos!$C$5:$C$88=D$4)*Costos!$E$5:$E$88*(Costos!$K$5:$K$88&lt;=$A46)*(Costos!$L$5:$L$88&gt;$A46))</f>
        <v>0.5</v>
      </c>
      <c r="E46" s="48" t="n">
        <f aca="false">SUMPRODUCT((Costos!$C$5:$C$88=E$4)*Costos!$E$5:$E$88*(Costos!$K$5:$K$88&lt;=$A46)*(Costos!$L$5:$L$88&gt;$A46))</f>
        <v>0.25</v>
      </c>
      <c r="F46" s="48" t="n">
        <f aca="false">SUMPRODUCT((Costos!$C$5:$C$88=F$4)*Costos!$E$5:$E$88*(Costos!$K$5:$K$88&lt;=$A46)*(Costos!$L$5:$L$88&gt;$A46))</f>
        <v>2</v>
      </c>
      <c r="G46" s="48" t="n">
        <f aca="false">SUMPRODUCT((Costos!$C$5:$C$88=G$4)*Costos!$E$5:$E$88*(Costos!$K$5:$K$88&lt;=$A46)*(Costos!$L$5:$L$88&gt;$A46))</f>
        <v>1</v>
      </c>
      <c r="H46" s="48" t="n">
        <f aca="false">SUMPRODUCT((Costos!$C$5:$C$88=H$4)*Costos!$E$5:$E$88*(Costos!$K$5:$K$88&lt;=$A46)*(Costos!$L$5:$L$88&gt;$A46))</f>
        <v>1</v>
      </c>
      <c r="I46" s="48" t="n">
        <f aca="false">SUMPRODUCT((Costos!$C$5:$C$88=I$4)*Costos!$E$5:$E$88*(Costos!$K$5:$K$88&lt;=$A46)*(Costos!$L$5:$L$88&gt;$A46))</f>
        <v>0</v>
      </c>
      <c r="J46" s="48" t="n">
        <f aca="false">SUMPRODUCT((Costos!$C$5:$C$88=J$4)*Costos!$E$5:$E$88*(Costos!$K$5:$K$88&lt;=$A46)*(Costos!$L$5:$L$88&gt;$A46))</f>
        <v>1</v>
      </c>
      <c r="K46" s="48" t="n">
        <f aca="false">SUMPRODUCT((Costos!$C$5:$C$88=K$4)*Costos!$E$5:$E$88*(Costos!$K$5:$K$88&lt;=$A46)*(Costos!$L$5:$L$88&gt;$A46))</f>
        <v>0.3</v>
      </c>
      <c r="L46" s="48" t="n">
        <f aca="false">SUMPRODUCT((Costos!$C$5:$C$88=L$4)*Costos!$E$5:$E$88*(Costos!$K$5:$K$88&lt;=$A46)*(Costos!$L$5:$L$88&gt;$A46))</f>
        <v>0.2</v>
      </c>
      <c r="M46" s="48" t="n">
        <f aca="false">SUMPRODUCT((Costos!$C$5:$C$88=M$4)*Costos!$E$5:$E$88*(Costos!$K$5:$K$88&lt;=$A46)*(Costos!$L$5:$L$88&gt;$A46))</f>
        <v>0.5</v>
      </c>
      <c r="N46" s="48" t="n">
        <f aca="false">SUMPRODUCT((Costos!$C$5:$C$88=N$4)*Costos!$E$5:$E$88*(Costos!$K$5:$K$88&lt;=$A46)*(Costos!$L$5:$L$88&gt;$A46))</f>
        <v>0</v>
      </c>
    </row>
    <row r="47" customFormat="false" ht="15" hidden="false" customHeight="false" outlineLevel="0" collapsed="false">
      <c r="A47" s="26" t="n">
        <v>42</v>
      </c>
      <c r="B47" s="47" t="n">
        <f aca="false">INDEX(Calendario!$B$3:$B$172,A47+1)</f>
        <v>46358</v>
      </c>
      <c r="C47" s="48" t="n">
        <f aca="false">SUMPRODUCT((Costos!$C$5:$C$88=C$4)*Costos!$E$5:$E$88*(Costos!$K$5:$K$88&lt;=$A47)*(Costos!$L$5:$L$88&gt;$A47))</f>
        <v>0.7</v>
      </c>
      <c r="D47" s="48" t="n">
        <f aca="false">SUMPRODUCT((Costos!$C$5:$C$88=D$4)*Costos!$E$5:$E$88*(Costos!$K$5:$K$88&lt;=$A47)*(Costos!$L$5:$L$88&gt;$A47))</f>
        <v>0.5</v>
      </c>
      <c r="E47" s="48" t="n">
        <f aca="false">SUMPRODUCT((Costos!$C$5:$C$88=E$4)*Costos!$E$5:$E$88*(Costos!$K$5:$K$88&lt;=$A47)*(Costos!$L$5:$L$88&gt;$A47))</f>
        <v>0.25</v>
      </c>
      <c r="F47" s="48" t="n">
        <f aca="false">SUMPRODUCT((Costos!$C$5:$C$88=F$4)*Costos!$E$5:$E$88*(Costos!$K$5:$K$88&lt;=$A47)*(Costos!$L$5:$L$88&gt;$A47))</f>
        <v>2</v>
      </c>
      <c r="G47" s="48" t="n">
        <f aca="false">SUMPRODUCT((Costos!$C$5:$C$88=G$4)*Costos!$E$5:$E$88*(Costos!$K$5:$K$88&lt;=$A47)*(Costos!$L$5:$L$88&gt;$A47))</f>
        <v>1</v>
      </c>
      <c r="H47" s="48" t="n">
        <f aca="false">SUMPRODUCT((Costos!$C$5:$C$88=H$4)*Costos!$E$5:$E$88*(Costos!$K$5:$K$88&lt;=$A47)*(Costos!$L$5:$L$88&gt;$A47))</f>
        <v>1</v>
      </c>
      <c r="I47" s="48" t="n">
        <f aca="false">SUMPRODUCT((Costos!$C$5:$C$88=I$4)*Costos!$E$5:$E$88*(Costos!$K$5:$K$88&lt;=$A47)*(Costos!$L$5:$L$88&gt;$A47))</f>
        <v>0</v>
      </c>
      <c r="J47" s="48" t="n">
        <f aca="false">SUMPRODUCT((Costos!$C$5:$C$88=J$4)*Costos!$E$5:$E$88*(Costos!$K$5:$K$88&lt;=$A47)*(Costos!$L$5:$L$88&gt;$A47))</f>
        <v>1</v>
      </c>
      <c r="K47" s="48" t="n">
        <f aca="false">SUMPRODUCT((Costos!$C$5:$C$88=K$4)*Costos!$E$5:$E$88*(Costos!$K$5:$K$88&lt;=$A47)*(Costos!$L$5:$L$88&gt;$A47))</f>
        <v>0.3</v>
      </c>
      <c r="L47" s="48" t="n">
        <f aca="false">SUMPRODUCT((Costos!$C$5:$C$88=L$4)*Costos!$E$5:$E$88*(Costos!$K$5:$K$88&lt;=$A47)*(Costos!$L$5:$L$88&gt;$A47))</f>
        <v>0.2</v>
      </c>
      <c r="M47" s="48" t="n">
        <f aca="false">SUMPRODUCT((Costos!$C$5:$C$88=M$4)*Costos!$E$5:$E$88*(Costos!$K$5:$K$88&lt;=$A47)*(Costos!$L$5:$L$88&gt;$A47))</f>
        <v>0.5</v>
      </c>
      <c r="N47" s="48" t="n">
        <f aca="false">SUMPRODUCT((Costos!$C$5:$C$88=N$4)*Costos!$E$5:$E$88*(Costos!$K$5:$K$88&lt;=$A47)*(Costos!$L$5:$L$88&gt;$A47))</f>
        <v>0</v>
      </c>
    </row>
    <row r="48" customFormat="false" ht="15" hidden="false" customHeight="false" outlineLevel="0" collapsed="false">
      <c r="A48" s="26" t="n">
        <v>43</v>
      </c>
      <c r="B48" s="47" t="n">
        <f aca="false">INDEX(Calendario!$B$3:$B$172,A48+1)</f>
        <v>46359</v>
      </c>
      <c r="C48" s="48" t="n">
        <f aca="false">SUMPRODUCT((Costos!$C$5:$C$88=C$4)*Costos!$E$5:$E$88*(Costos!$K$5:$K$88&lt;=$A48)*(Costos!$L$5:$L$88&gt;$A48))</f>
        <v>0.7</v>
      </c>
      <c r="D48" s="48" t="n">
        <f aca="false">SUMPRODUCT((Costos!$C$5:$C$88=D$4)*Costos!$E$5:$E$88*(Costos!$K$5:$K$88&lt;=$A48)*(Costos!$L$5:$L$88&gt;$A48))</f>
        <v>0.7</v>
      </c>
      <c r="E48" s="48" t="n">
        <f aca="false">SUMPRODUCT((Costos!$C$5:$C$88=E$4)*Costos!$E$5:$E$88*(Costos!$K$5:$K$88&lt;=$A48)*(Costos!$L$5:$L$88&gt;$A48))</f>
        <v>0.25</v>
      </c>
      <c r="F48" s="48" t="n">
        <f aca="false">SUMPRODUCT((Costos!$C$5:$C$88=F$4)*Costos!$E$5:$E$88*(Costos!$K$5:$K$88&lt;=$A48)*(Costos!$L$5:$L$88&gt;$A48))</f>
        <v>1.5</v>
      </c>
      <c r="G48" s="48" t="n">
        <f aca="false">SUMPRODUCT((Costos!$C$5:$C$88=G$4)*Costos!$E$5:$E$88*(Costos!$K$5:$K$88&lt;=$A48)*(Costos!$L$5:$L$88&gt;$A48))</f>
        <v>0.8</v>
      </c>
      <c r="H48" s="48" t="n">
        <f aca="false">SUMPRODUCT((Costos!$C$5:$C$88=H$4)*Costos!$E$5:$E$88*(Costos!$K$5:$K$88&lt;=$A48)*(Costos!$L$5:$L$88&gt;$A48))</f>
        <v>1</v>
      </c>
      <c r="I48" s="48" t="n">
        <f aca="false">SUMPRODUCT((Costos!$C$5:$C$88=I$4)*Costos!$E$5:$E$88*(Costos!$K$5:$K$88&lt;=$A48)*(Costos!$L$5:$L$88&gt;$A48))</f>
        <v>0</v>
      </c>
      <c r="J48" s="48" t="n">
        <f aca="false">SUMPRODUCT((Costos!$C$5:$C$88=J$4)*Costos!$E$5:$E$88*(Costos!$K$5:$K$88&lt;=$A48)*(Costos!$L$5:$L$88&gt;$A48))</f>
        <v>1</v>
      </c>
      <c r="K48" s="48" t="n">
        <f aca="false">SUMPRODUCT((Costos!$C$5:$C$88=K$4)*Costos!$E$5:$E$88*(Costos!$K$5:$K$88&lt;=$A48)*(Costos!$L$5:$L$88&gt;$A48))</f>
        <v>0.3</v>
      </c>
      <c r="L48" s="48" t="n">
        <f aca="false">SUMPRODUCT((Costos!$C$5:$C$88=L$4)*Costos!$E$5:$E$88*(Costos!$K$5:$K$88&lt;=$A48)*(Costos!$L$5:$L$88&gt;$A48))</f>
        <v>0.2</v>
      </c>
      <c r="M48" s="48" t="n">
        <f aca="false">SUMPRODUCT((Costos!$C$5:$C$88=M$4)*Costos!$E$5:$E$88*(Costos!$K$5:$K$88&lt;=$A48)*(Costos!$L$5:$L$88&gt;$A48))</f>
        <v>0.5</v>
      </c>
      <c r="N48" s="48" t="n">
        <f aca="false">SUMPRODUCT((Costos!$C$5:$C$88=N$4)*Costos!$E$5:$E$88*(Costos!$K$5:$K$88&lt;=$A48)*(Costos!$L$5:$L$88&gt;$A48))</f>
        <v>0</v>
      </c>
    </row>
    <row r="49" customFormat="false" ht="15" hidden="false" customHeight="false" outlineLevel="0" collapsed="false">
      <c r="A49" s="26" t="n">
        <v>44</v>
      </c>
      <c r="B49" s="47" t="n">
        <f aca="false">INDEX(Calendario!$B$3:$B$172,A49+1)</f>
        <v>46360</v>
      </c>
      <c r="C49" s="48" t="n">
        <f aca="false">SUMPRODUCT((Costos!$C$5:$C$88=C$4)*Costos!$E$5:$E$88*(Costos!$K$5:$K$88&lt;=$A49)*(Costos!$L$5:$L$88&gt;$A49))</f>
        <v>0.7</v>
      </c>
      <c r="D49" s="48" t="n">
        <f aca="false">SUMPRODUCT((Costos!$C$5:$C$88=D$4)*Costos!$E$5:$E$88*(Costos!$K$5:$K$88&lt;=$A49)*(Costos!$L$5:$L$88&gt;$A49))</f>
        <v>0.7</v>
      </c>
      <c r="E49" s="48" t="n">
        <f aca="false">SUMPRODUCT((Costos!$C$5:$C$88=E$4)*Costos!$E$5:$E$88*(Costos!$K$5:$K$88&lt;=$A49)*(Costos!$L$5:$L$88&gt;$A49))</f>
        <v>0.25</v>
      </c>
      <c r="F49" s="48" t="n">
        <f aca="false">SUMPRODUCT((Costos!$C$5:$C$88=F$4)*Costos!$E$5:$E$88*(Costos!$K$5:$K$88&lt;=$A49)*(Costos!$L$5:$L$88&gt;$A49))</f>
        <v>1.5</v>
      </c>
      <c r="G49" s="48" t="n">
        <f aca="false">SUMPRODUCT((Costos!$C$5:$C$88=G$4)*Costos!$E$5:$E$88*(Costos!$K$5:$K$88&lt;=$A49)*(Costos!$L$5:$L$88&gt;$A49))</f>
        <v>0.8</v>
      </c>
      <c r="H49" s="48" t="n">
        <f aca="false">SUMPRODUCT((Costos!$C$5:$C$88=H$4)*Costos!$E$5:$E$88*(Costos!$K$5:$K$88&lt;=$A49)*(Costos!$L$5:$L$88&gt;$A49))</f>
        <v>1</v>
      </c>
      <c r="I49" s="48" t="n">
        <f aca="false">SUMPRODUCT((Costos!$C$5:$C$88=I$4)*Costos!$E$5:$E$88*(Costos!$K$5:$K$88&lt;=$A49)*(Costos!$L$5:$L$88&gt;$A49))</f>
        <v>0</v>
      </c>
      <c r="J49" s="48" t="n">
        <f aca="false">SUMPRODUCT((Costos!$C$5:$C$88=J$4)*Costos!$E$5:$E$88*(Costos!$K$5:$K$88&lt;=$A49)*(Costos!$L$5:$L$88&gt;$A49))</f>
        <v>1</v>
      </c>
      <c r="K49" s="48" t="n">
        <f aca="false">SUMPRODUCT((Costos!$C$5:$C$88=K$4)*Costos!$E$5:$E$88*(Costos!$K$5:$K$88&lt;=$A49)*(Costos!$L$5:$L$88&gt;$A49))</f>
        <v>0.3</v>
      </c>
      <c r="L49" s="48" t="n">
        <f aca="false">SUMPRODUCT((Costos!$C$5:$C$88=L$4)*Costos!$E$5:$E$88*(Costos!$K$5:$K$88&lt;=$A49)*(Costos!$L$5:$L$88&gt;$A49))</f>
        <v>0.2</v>
      </c>
      <c r="M49" s="48" t="n">
        <f aca="false">SUMPRODUCT((Costos!$C$5:$C$88=M$4)*Costos!$E$5:$E$88*(Costos!$K$5:$K$88&lt;=$A49)*(Costos!$L$5:$L$88&gt;$A49))</f>
        <v>0.5</v>
      </c>
      <c r="N49" s="48" t="n">
        <f aca="false">SUMPRODUCT((Costos!$C$5:$C$88=N$4)*Costos!$E$5:$E$88*(Costos!$K$5:$K$88&lt;=$A49)*(Costos!$L$5:$L$88&gt;$A49))</f>
        <v>0</v>
      </c>
    </row>
    <row r="50" customFormat="false" ht="15" hidden="false" customHeight="false" outlineLevel="0" collapsed="false">
      <c r="A50" s="26" t="n">
        <v>45</v>
      </c>
      <c r="B50" s="47" t="n">
        <f aca="false">INDEX(Calendario!$B$3:$B$172,A50+1)</f>
        <v>46365</v>
      </c>
      <c r="C50" s="48" t="n">
        <f aca="false">SUMPRODUCT((Costos!$C$5:$C$88=C$4)*Costos!$E$5:$E$88*(Costos!$K$5:$K$88&lt;=$A50)*(Costos!$L$5:$L$88&gt;$A50))</f>
        <v>0.7</v>
      </c>
      <c r="D50" s="48" t="n">
        <f aca="false">SUMPRODUCT((Costos!$C$5:$C$88=D$4)*Costos!$E$5:$E$88*(Costos!$K$5:$K$88&lt;=$A50)*(Costos!$L$5:$L$88&gt;$A50))</f>
        <v>0.7</v>
      </c>
      <c r="E50" s="48" t="n">
        <f aca="false">SUMPRODUCT((Costos!$C$5:$C$88=E$4)*Costos!$E$5:$E$88*(Costos!$K$5:$K$88&lt;=$A50)*(Costos!$L$5:$L$88&gt;$A50))</f>
        <v>0.25</v>
      </c>
      <c r="F50" s="48" t="n">
        <f aca="false">SUMPRODUCT((Costos!$C$5:$C$88=F$4)*Costos!$E$5:$E$88*(Costos!$K$5:$K$88&lt;=$A50)*(Costos!$L$5:$L$88&gt;$A50))</f>
        <v>1.5</v>
      </c>
      <c r="G50" s="48" t="n">
        <f aca="false">SUMPRODUCT((Costos!$C$5:$C$88=G$4)*Costos!$E$5:$E$88*(Costos!$K$5:$K$88&lt;=$A50)*(Costos!$L$5:$L$88&gt;$A50))</f>
        <v>0.5</v>
      </c>
      <c r="H50" s="48" t="n">
        <f aca="false">SUMPRODUCT((Costos!$C$5:$C$88=H$4)*Costos!$E$5:$E$88*(Costos!$K$5:$K$88&lt;=$A50)*(Costos!$L$5:$L$88&gt;$A50))</f>
        <v>0</v>
      </c>
      <c r="I50" s="48" t="n">
        <f aca="false">SUMPRODUCT((Costos!$C$5:$C$88=I$4)*Costos!$E$5:$E$88*(Costos!$K$5:$K$88&lt;=$A50)*(Costos!$L$5:$L$88&gt;$A50))</f>
        <v>0</v>
      </c>
      <c r="J50" s="48" t="n">
        <f aca="false">SUMPRODUCT((Costos!$C$5:$C$88=J$4)*Costos!$E$5:$E$88*(Costos!$K$5:$K$88&lt;=$A50)*(Costos!$L$5:$L$88&gt;$A50))</f>
        <v>1</v>
      </c>
      <c r="K50" s="48" t="n">
        <f aca="false">SUMPRODUCT((Costos!$C$5:$C$88=K$4)*Costos!$E$5:$E$88*(Costos!$K$5:$K$88&lt;=$A50)*(Costos!$L$5:$L$88&gt;$A50))</f>
        <v>0.3</v>
      </c>
      <c r="L50" s="48" t="n">
        <f aca="false">SUMPRODUCT((Costos!$C$5:$C$88=L$4)*Costos!$E$5:$E$88*(Costos!$K$5:$K$88&lt;=$A50)*(Costos!$L$5:$L$88&gt;$A50))</f>
        <v>0.2</v>
      </c>
      <c r="M50" s="48" t="n">
        <f aca="false">SUMPRODUCT((Costos!$C$5:$C$88=M$4)*Costos!$E$5:$E$88*(Costos!$K$5:$K$88&lt;=$A50)*(Costos!$L$5:$L$88&gt;$A50))</f>
        <v>0.5</v>
      </c>
      <c r="N50" s="48" t="n">
        <f aca="false">SUMPRODUCT((Costos!$C$5:$C$88=N$4)*Costos!$E$5:$E$88*(Costos!$K$5:$K$88&lt;=$A50)*(Costos!$L$5:$L$88&gt;$A50))</f>
        <v>0</v>
      </c>
    </row>
    <row r="51" customFormat="false" ht="15" hidden="false" customHeight="false" outlineLevel="0" collapsed="false">
      <c r="A51" s="26" t="n">
        <v>46</v>
      </c>
      <c r="B51" s="47" t="n">
        <f aca="false">INDEX(Calendario!$B$3:$B$172,A51+1)</f>
        <v>46366</v>
      </c>
      <c r="C51" s="48" t="n">
        <f aca="false">SUMPRODUCT((Costos!$C$5:$C$88=C$4)*Costos!$E$5:$E$88*(Costos!$K$5:$K$88&lt;=$A51)*(Costos!$L$5:$L$88&gt;$A51))</f>
        <v>0.7</v>
      </c>
      <c r="D51" s="48" t="n">
        <f aca="false">SUMPRODUCT((Costos!$C$5:$C$88=D$4)*Costos!$E$5:$E$88*(Costos!$K$5:$K$88&lt;=$A51)*(Costos!$L$5:$L$88&gt;$A51))</f>
        <v>0.7</v>
      </c>
      <c r="E51" s="48" t="n">
        <f aca="false">SUMPRODUCT((Costos!$C$5:$C$88=E$4)*Costos!$E$5:$E$88*(Costos!$K$5:$K$88&lt;=$A51)*(Costos!$L$5:$L$88&gt;$A51))</f>
        <v>0.25</v>
      </c>
      <c r="F51" s="48" t="n">
        <f aca="false">SUMPRODUCT((Costos!$C$5:$C$88=F$4)*Costos!$E$5:$E$88*(Costos!$K$5:$K$88&lt;=$A51)*(Costos!$L$5:$L$88&gt;$A51))</f>
        <v>1.5</v>
      </c>
      <c r="G51" s="48" t="n">
        <f aca="false">SUMPRODUCT((Costos!$C$5:$C$88=G$4)*Costos!$E$5:$E$88*(Costos!$K$5:$K$88&lt;=$A51)*(Costos!$L$5:$L$88&gt;$A51))</f>
        <v>0.5</v>
      </c>
      <c r="H51" s="48" t="n">
        <f aca="false">SUMPRODUCT((Costos!$C$5:$C$88=H$4)*Costos!$E$5:$E$88*(Costos!$K$5:$K$88&lt;=$A51)*(Costos!$L$5:$L$88&gt;$A51))</f>
        <v>0</v>
      </c>
      <c r="I51" s="48" t="n">
        <f aca="false">SUMPRODUCT((Costos!$C$5:$C$88=I$4)*Costos!$E$5:$E$88*(Costos!$K$5:$K$88&lt;=$A51)*(Costos!$L$5:$L$88&gt;$A51))</f>
        <v>0</v>
      </c>
      <c r="J51" s="48" t="n">
        <f aca="false">SUMPRODUCT((Costos!$C$5:$C$88=J$4)*Costos!$E$5:$E$88*(Costos!$K$5:$K$88&lt;=$A51)*(Costos!$L$5:$L$88&gt;$A51))</f>
        <v>1</v>
      </c>
      <c r="K51" s="48" t="n">
        <f aca="false">SUMPRODUCT((Costos!$C$5:$C$88=K$4)*Costos!$E$5:$E$88*(Costos!$K$5:$K$88&lt;=$A51)*(Costos!$L$5:$L$88&gt;$A51))</f>
        <v>0.3</v>
      </c>
      <c r="L51" s="48" t="n">
        <f aca="false">SUMPRODUCT((Costos!$C$5:$C$88=L$4)*Costos!$E$5:$E$88*(Costos!$K$5:$K$88&lt;=$A51)*(Costos!$L$5:$L$88&gt;$A51))</f>
        <v>0.2</v>
      </c>
      <c r="M51" s="48" t="n">
        <f aca="false">SUMPRODUCT((Costos!$C$5:$C$88=M$4)*Costos!$E$5:$E$88*(Costos!$K$5:$K$88&lt;=$A51)*(Costos!$L$5:$L$88&gt;$A51))</f>
        <v>0.5</v>
      </c>
      <c r="N51" s="48" t="n">
        <f aca="false">SUMPRODUCT((Costos!$C$5:$C$88=N$4)*Costos!$E$5:$E$88*(Costos!$K$5:$K$88&lt;=$A51)*(Costos!$L$5:$L$88&gt;$A51))</f>
        <v>0</v>
      </c>
    </row>
    <row r="52" customFormat="false" ht="15" hidden="false" customHeight="false" outlineLevel="0" collapsed="false">
      <c r="A52" s="26" t="n">
        <v>47</v>
      </c>
      <c r="B52" s="47" t="n">
        <f aca="false">INDEX(Calendario!$B$3:$B$172,A52+1)</f>
        <v>46367</v>
      </c>
      <c r="C52" s="48" t="n">
        <f aca="false">SUMPRODUCT((Costos!$C$5:$C$88=C$4)*Costos!$E$5:$E$88*(Costos!$K$5:$K$88&lt;=$A52)*(Costos!$L$5:$L$88&gt;$A52))</f>
        <v>0.7</v>
      </c>
      <c r="D52" s="48" t="n">
        <f aca="false">SUMPRODUCT((Costos!$C$5:$C$88=D$4)*Costos!$E$5:$E$88*(Costos!$K$5:$K$88&lt;=$A52)*(Costos!$L$5:$L$88&gt;$A52))</f>
        <v>0.7</v>
      </c>
      <c r="E52" s="48" t="n">
        <f aca="false">SUMPRODUCT((Costos!$C$5:$C$88=E$4)*Costos!$E$5:$E$88*(Costos!$K$5:$K$88&lt;=$A52)*(Costos!$L$5:$L$88&gt;$A52))</f>
        <v>0.25</v>
      </c>
      <c r="F52" s="48" t="n">
        <f aca="false">SUMPRODUCT((Costos!$C$5:$C$88=F$4)*Costos!$E$5:$E$88*(Costos!$K$5:$K$88&lt;=$A52)*(Costos!$L$5:$L$88&gt;$A52))</f>
        <v>1.5</v>
      </c>
      <c r="G52" s="48" t="n">
        <f aca="false">SUMPRODUCT((Costos!$C$5:$C$88=G$4)*Costos!$E$5:$E$88*(Costos!$K$5:$K$88&lt;=$A52)*(Costos!$L$5:$L$88&gt;$A52))</f>
        <v>0.5</v>
      </c>
      <c r="H52" s="48" t="n">
        <f aca="false">SUMPRODUCT((Costos!$C$5:$C$88=H$4)*Costos!$E$5:$E$88*(Costos!$K$5:$K$88&lt;=$A52)*(Costos!$L$5:$L$88&gt;$A52))</f>
        <v>0</v>
      </c>
      <c r="I52" s="48" t="n">
        <f aca="false">SUMPRODUCT((Costos!$C$5:$C$88=I$4)*Costos!$E$5:$E$88*(Costos!$K$5:$K$88&lt;=$A52)*(Costos!$L$5:$L$88&gt;$A52))</f>
        <v>0</v>
      </c>
      <c r="J52" s="48" t="n">
        <f aca="false">SUMPRODUCT((Costos!$C$5:$C$88=J$4)*Costos!$E$5:$E$88*(Costos!$K$5:$K$88&lt;=$A52)*(Costos!$L$5:$L$88&gt;$A52))</f>
        <v>1</v>
      </c>
      <c r="K52" s="48" t="n">
        <f aca="false">SUMPRODUCT((Costos!$C$5:$C$88=K$4)*Costos!$E$5:$E$88*(Costos!$K$5:$K$88&lt;=$A52)*(Costos!$L$5:$L$88&gt;$A52))</f>
        <v>0.3</v>
      </c>
      <c r="L52" s="48" t="n">
        <f aca="false">SUMPRODUCT((Costos!$C$5:$C$88=L$4)*Costos!$E$5:$E$88*(Costos!$K$5:$K$88&lt;=$A52)*(Costos!$L$5:$L$88&gt;$A52))</f>
        <v>0.2</v>
      </c>
      <c r="M52" s="48" t="n">
        <f aca="false">SUMPRODUCT((Costos!$C$5:$C$88=M$4)*Costos!$E$5:$E$88*(Costos!$K$5:$K$88&lt;=$A52)*(Costos!$L$5:$L$88&gt;$A52))</f>
        <v>0.5</v>
      </c>
      <c r="N52" s="48" t="n">
        <f aca="false">SUMPRODUCT((Costos!$C$5:$C$88=N$4)*Costos!$E$5:$E$88*(Costos!$K$5:$K$88&lt;=$A52)*(Costos!$L$5:$L$88&gt;$A52))</f>
        <v>0</v>
      </c>
    </row>
    <row r="53" customFormat="false" ht="15" hidden="false" customHeight="false" outlineLevel="0" collapsed="false">
      <c r="A53" s="26" t="n">
        <v>48</v>
      </c>
      <c r="B53" s="47" t="n">
        <f aca="false">INDEX(Calendario!$B$3:$B$172,A53+1)</f>
        <v>46370</v>
      </c>
      <c r="C53" s="48" t="n">
        <f aca="false">SUMPRODUCT((Costos!$C$5:$C$88=C$4)*Costos!$E$5:$E$88*(Costos!$K$5:$K$88&lt;=$A53)*(Costos!$L$5:$L$88&gt;$A53))</f>
        <v>0.7</v>
      </c>
      <c r="D53" s="48" t="n">
        <f aca="false">SUMPRODUCT((Costos!$C$5:$C$88=D$4)*Costos!$E$5:$E$88*(Costos!$K$5:$K$88&lt;=$A53)*(Costos!$L$5:$L$88&gt;$A53))</f>
        <v>0.7</v>
      </c>
      <c r="E53" s="48" t="n">
        <f aca="false">SUMPRODUCT((Costos!$C$5:$C$88=E$4)*Costos!$E$5:$E$88*(Costos!$K$5:$K$88&lt;=$A53)*(Costos!$L$5:$L$88&gt;$A53))</f>
        <v>0.25</v>
      </c>
      <c r="F53" s="48" t="n">
        <f aca="false">SUMPRODUCT((Costos!$C$5:$C$88=F$4)*Costos!$E$5:$E$88*(Costos!$K$5:$K$88&lt;=$A53)*(Costos!$L$5:$L$88&gt;$A53))</f>
        <v>1.5</v>
      </c>
      <c r="G53" s="48" t="n">
        <f aca="false">SUMPRODUCT((Costos!$C$5:$C$88=G$4)*Costos!$E$5:$E$88*(Costos!$K$5:$K$88&lt;=$A53)*(Costos!$L$5:$L$88&gt;$A53))</f>
        <v>0.5</v>
      </c>
      <c r="H53" s="48" t="n">
        <f aca="false">SUMPRODUCT((Costos!$C$5:$C$88=H$4)*Costos!$E$5:$E$88*(Costos!$K$5:$K$88&lt;=$A53)*(Costos!$L$5:$L$88&gt;$A53))</f>
        <v>0</v>
      </c>
      <c r="I53" s="48" t="n">
        <f aca="false">SUMPRODUCT((Costos!$C$5:$C$88=I$4)*Costos!$E$5:$E$88*(Costos!$K$5:$K$88&lt;=$A53)*(Costos!$L$5:$L$88&gt;$A53))</f>
        <v>0</v>
      </c>
      <c r="J53" s="48" t="n">
        <f aca="false">SUMPRODUCT((Costos!$C$5:$C$88=J$4)*Costos!$E$5:$E$88*(Costos!$K$5:$K$88&lt;=$A53)*(Costos!$L$5:$L$88&gt;$A53))</f>
        <v>1</v>
      </c>
      <c r="K53" s="48" t="n">
        <f aca="false">SUMPRODUCT((Costos!$C$5:$C$88=K$4)*Costos!$E$5:$E$88*(Costos!$K$5:$K$88&lt;=$A53)*(Costos!$L$5:$L$88&gt;$A53))</f>
        <v>0.3</v>
      </c>
      <c r="L53" s="48" t="n">
        <f aca="false">SUMPRODUCT((Costos!$C$5:$C$88=L$4)*Costos!$E$5:$E$88*(Costos!$K$5:$K$88&lt;=$A53)*(Costos!$L$5:$L$88&gt;$A53))</f>
        <v>0.2</v>
      </c>
      <c r="M53" s="48" t="n">
        <f aca="false">SUMPRODUCT((Costos!$C$5:$C$88=M$4)*Costos!$E$5:$E$88*(Costos!$K$5:$K$88&lt;=$A53)*(Costos!$L$5:$L$88&gt;$A53))</f>
        <v>0.5</v>
      </c>
      <c r="N53" s="48" t="n">
        <f aca="false">SUMPRODUCT((Costos!$C$5:$C$88=N$4)*Costos!$E$5:$E$88*(Costos!$K$5:$K$88&lt;=$A53)*(Costos!$L$5:$L$88&gt;$A53))</f>
        <v>0</v>
      </c>
    </row>
    <row r="54" customFormat="false" ht="15" hidden="false" customHeight="false" outlineLevel="0" collapsed="false">
      <c r="A54" s="26" t="n">
        <v>49</v>
      </c>
      <c r="B54" s="47" t="n">
        <f aca="false">INDEX(Calendario!$B$3:$B$172,A54+1)</f>
        <v>46371</v>
      </c>
      <c r="C54" s="48" t="n">
        <f aca="false">SUMPRODUCT((Costos!$C$5:$C$88=C$4)*Costos!$E$5:$E$88*(Costos!$K$5:$K$88&lt;=$A54)*(Costos!$L$5:$L$88&gt;$A54))</f>
        <v>0.7</v>
      </c>
      <c r="D54" s="48" t="n">
        <f aca="false">SUMPRODUCT((Costos!$C$5:$C$88=D$4)*Costos!$E$5:$E$88*(Costos!$K$5:$K$88&lt;=$A54)*(Costos!$L$5:$L$88&gt;$A54))</f>
        <v>0.7</v>
      </c>
      <c r="E54" s="48" t="n">
        <f aca="false">SUMPRODUCT((Costos!$C$5:$C$88=E$4)*Costos!$E$5:$E$88*(Costos!$K$5:$K$88&lt;=$A54)*(Costos!$L$5:$L$88&gt;$A54))</f>
        <v>0.25</v>
      </c>
      <c r="F54" s="48" t="n">
        <f aca="false">SUMPRODUCT((Costos!$C$5:$C$88=F$4)*Costos!$E$5:$E$88*(Costos!$K$5:$K$88&lt;=$A54)*(Costos!$L$5:$L$88&gt;$A54))</f>
        <v>1.5</v>
      </c>
      <c r="G54" s="48" t="n">
        <f aca="false">SUMPRODUCT((Costos!$C$5:$C$88=G$4)*Costos!$E$5:$E$88*(Costos!$K$5:$K$88&lt;=$A54)*(Costos!$L$5:$L$88&gt;$A54))</f>
        <v>0.5</v>
      </c>
      <c r="H54" s="48" t="n">
        <f aca="false">SUMPRODUCT((Costos!$C$5:$C$88=H$4)*Costos!$E$5:$E$88*(Costos!$K$5:$K$88&lt;=$A54)*(Costos!$L$5:$L$88&gt;$A54))</f>
        <v>0</v>
      </c>
      <c r="I54" s="48" t="n">
        <f aca="false">SUMPRODUCT((Costos!$C$5:$C$88=I$4)*Costos!$E$5:$E$88*(Costos!$K$5:$K$88&lt;=$A54)*(Costos!$L$5:$L$88&gt;$A54))</f>
        <v>0</v>
      </c>
      <c r="J54" s="48" t="n">
        <f aca="false">SUMPRODUCT((Costos!$C$5:$C$88=J$4)*Costos!$E$5:$E$88*(Costos!$K$5:$K$88&lt;=$A54)*(Costos!$L$5:$L$88&gt;$A54))</f>
        <v>1</v>
      </c>
      <c r="K54" s="48" t="n">
        <f aca="false">SUMPRODUCT((Costos!$C$5:$C$88=K$4)*Costos!$E$5:$E$88*(Costos!$K$5:$K$88&lt;=$A54)*(Costos!$L$5:$L$88&gt;$A54))</f>
        <v>0.3</v>
      </c>
      <c r="L54" s="48" t="n">
        <f aca="false">SUMPRODUCT((Costos!$C$5:$C$88=L$4)*Costos!$E$5:$E$88*(Costos!$K$5:$K$88&lt;=$A54)*(Costos!$L$5:$L$88&gt;$A54))</f>
        <v>0.2</v>
      </c>
      <c r="M54" s="48" t="n">
        <f aca="false">SUMPRODUCT((Costos!$C$5:$C$88=M$4)*Costos!$E$5:$E$88*(Costos!$K$5:$K$88&lt;=$A54)*(Costos!$L$5:$L$88&gt;$A54))</f>
        <v>0.5</v>
      </c>
      <c r="N54" s="48" t="n">
        <f aca="false">SUMPRODUCT((Costos!$C$5:$C$88=N$4)*Costos!$E$5:$E$88*(Costos!$K$5:$K$88&lt;=$A54)*(Costos!$L$5:$L$88&gt;$A54))</f>
        <v>0</v>
      </c>
    </row>
    <row r="55" customFormat="false" ht="15" hidden="false" customHeight="false" outlineLevel="0" collapsed="false">
      <c r="A55" s="26" t="n">
        <v>50</v>
      </c>
      <c r="B55" s="47" t="n">
        <f aca="false">INDEX(Calendario!$B$3:$B$172,A55+1)</f>
        <v>46372</v>
      </c>
      <c r="C55" s="48" t="n">
        <f aca="false">SUMPRODUCT((Costos!$C$5:$C$88=C$4)*Costos!$E$5:$E$88*(Costos!$K$5:$K$88&lt;=$A55)*(Costos!$L$5:$L$88&gt;$A55))</f>
        <v>0.7</v>
      </c>
      <c r="D55" s="48" t="n">
        <f aca="false">SUMPRODUCT((Costos!$C$5:$C$88=D$4)*Costos!$E$5:$E$88*(Costos!$K$5:$K$88&lt;=$A55)*(Costos!$L$5:$L$88&gt;$A55))</f>
        <v>0.7</v>
      </c>
      <c r="E55" s="48" t="n">
        <f aca="false">SUMPRODUCT((Costos!$C$5:$C$88=E$4)*Costos!$E$5:$E$88*(Costos!$K$5:$K$88&lt;=$A55)*(Costos!$L$5:$L$88&gt;$A55))</f>
        <v>0.25</v>
      </c>
      <c r="F55" s="48" t="n">
        <f aca="false">SUMPRODUCT((Costos!$C$5:$C$88=F$4)*Costos!$E$5:$E$88*(Costos!$K$5:$K$88&lt;=$A55)*(Costos!$L$5:$L$88&gt;$A55))</f>
        <v>1.5</v>
      </c>
      <c r="G55" s="48" t="n">
        <f aca="false">SUMPRODUCT((Costos!$C$5:$C$88=G$4)*Costos!$E$5:$E$88*(Costos!$K$5:$K$88&lt;=$A55)*(Costos!$L$5:$L$88&gt;$A55))</f>
        <v>0.5</v>
      </c>
      <c r="H55" s="48" t="n">
        <f aca="false">SUMPRODUCT((Costos!$C$5:$C$88=H$4)*Costos!$E$5:$E$88*(Costos!$K$5:$K$88&lt;=$A55)*(Costos!$L$5:$L$88&gt;$A55))</f>
        <v>0</v>
      </c>
      <c r="I55" s="48" t="n">
        <f aca="false">SUMPRODUCT((Costos!$C$5:$C$88=I$4)*Costos!$E$5:$E$88*(Costos!$K$5:$K$88&lt;=$A55)*(Costos!$L$5:$L$88&gt;$A55))</f>
        <v>0</v>
      </c>
      <c r="J55" s="48" t="n">
        <f aca="false">SUMPRODUCT((Costos!$C$5:$C$88=J$4)*Costos!$E$5:$E$88*(Costos!$K$5:$K$88&lt;=$A55)*(Costos!$L$5:$L$88&gt;$A55))</f>
        <v>1</v>
      </c>
      <c r="K55" s="48" t="n">
        <f aca="false">SUMPRODUCT((Costos!$C$5:$C$88=K$4)*Costos!$E$5:$E$88*(Costos!$K$5:$K$88&lt;=$A55)*(Costos!$L$5:$L$88&gt;$A55))</f>
        <v>0.3</v>
      </c>
      <c r="L55" s="48" t="n">
        <f aca="false">SUMPRODUCT((Costos!$C$5:$C$88=L$4)*Costos!$E$5:$E$88*(Costos!$K$5:$K$88&lt;=$A55)*(Costos!$L$5:$L$88&gt;$A55))</f>
        <v>0.2</v>
      </c>
      <c r="M55" s="48" t="n">
        <f aca="false">SUMPRODUCT((Costos!$C$5:$C$88=M$4)*Costos!$E$5:$E$88*(Costos!$K$5:$K$88&lt;=$A55)*(Costos!$L$5:$L$88&gt;$A55))</f>
        <v>0.5</v>
      </c>
      <c r="N55" s="48" t="n">
        <f aca="false">SUMPRODUCT((Costos!$C$5:$C$88=N$4)*Costos!$E$5:$E$88*(Costos!$K$5:$K$88&lt;=$A55)*(Costos!$L$5:$L$88&gt;$A55))</f>
        <v>0</v>
      </c>
    </row>
    <row r="56" customFormat="false" ht="15" hidden="false" customHeight="false" outlineLevel="0" collapsed="false">
      <c r="A56" s="26" t="n">
        <v>51</v>
      </c>
      <c r="B56" s="47" t="n">
        <f aca="false">INDEX(Calendario!$B$3:$B$172,A56+1)</f>
        <v>46373</v>
      </c>
      <c r="C56" s="48" t="n">
        <f aca="false">SUMPRODUCT((Costos!$C$5:$C$88=C$4)*Costos!$E$5:$E$88*(Costos!$K$5:$K$88&lt;=$A56)*(Costos!$L$5:$L$88&gt;$A56))</f>
        <v>0.7</v>
      </c>
      <c r="D56" s="48" t="n">
        <f aca="false">SUMPRODUCT((Costos!$C$5:$C$88=D$4)*Costos!$E$5:$E$88*(Costos!$K$5:$K$88&lt;=$A56)*(Costos!$L$5:$L$88&gt;$A56))</f>
        <v>0.7</v>
      </c>
      <c r="E56" s="48" t="n">
        <f aca="false">SUMPRODUCT((Costos!$C$5:$C$88=E$4)*Costos!$E$5:$E$88*(Costos!$K$5:$K$88&lt;=$A56)*(Costos!$L$5:$L$88&gt;$A56))</f>
        <v>0.25</v>
      </c>
      <c r="F56" s="48" t="n">
        <f aca="false">SUMPRODUCT((Costos!$C$5:$C$88=F$4)*Costos!$E$5:$E$88*(Costos!$K$5:$K$88&lt;=$A56)*(Costos!$L$5:$L$88&gt;$A56))</f>
        <v>1.5</v>
      </c>
      <c r="G56" s="48" t="n">
        <f aca="false">SUMPRODUCT((Costos!$C$5:$C$88=G$4)*Costos!$E$5:$E$88*(Costos!$K$5:$K$88&lt;=$A56)*(Costos!$L$5:$L$88&gt;$A56))</f>
        <v>0.5</v>
      </c>
      <c r="H56" s="48" t="n">
        <f aca="false">SUMPRODUCT((Costos!$C$5:$C$88=H$4)*Costos!$E$5:$E$88*(Costos!$K$5:$K$88&lt;=$A56)*(Costos!$L$5:$L$88&gt;$A56))</f>
        <v>0</v>
      </c>
      <c r="I56" s="48" t="n">
        <f aca="false">SUMPRODUCT((Costos!$C$5:$C$88=I$4)*Costos!$E$5:$E$88*(Costos!$K$5:$K$88&lt;=$A56)*(Costos!$L$5:$L$88&gt;$A56))</f>
        <v>0</v>
      </c>
      <c r="J56" s="48" t="n">
        <f aca="false">SUMPRODUCT((Costos!$C$5:$C$88=J$4)*Costos!$E$5:$E$88*(Costos!$K$5:$K$88&lt;=$A56)*(Costos!$L$5:$L$88&gt;$A56))</f>
        <v>1</v>
      </c>
      <c r="K56" s="48" t="n">
        <f aca="false">SUMPRODUCT((Costos!$C$5:$C$88=K$4)*Costos!$E$5:$E$88*(Costos!$K$5:$K$88&lt;=$A56)*(Costos!$L$5:$L$88&gt;$A56))</f>
        <v>0.3</v>
      </c>
      <c r="L56" s="48" t="n">
        <f aca="false">SUMPRODUCT((Costos!$C$5:$C$88=L$4)*Costos!$E$5:$E$88*(Costos!$K$5:$K$88&lt;=$A56)*(Costos!$L$5:$L$88&gt;$A56))</f>
        <v>0.2</v>
      </c>
      <c r="M56" s="48" t="n">
        <f aca="false">SUMPRODUCT((Costos!$C$5:$C$88=M$4)*Costos!$E$5:$E$88*(Costos!$K$5:$K$88&lt;=$A56)*(Costos!$L$5:$L$88&gt;$A56))</f>
        <v>0.5</v>
      </c>
      <c r="N56" s="48" t="n">
        <f aca="false">SUMPRODUCT((Costos!$C$5:$C$88=N$4)*Costos!$E$5:$E$88*(Costos!$K$5:$K$88&lt;=$A56)*(Costos!$L$5:$L$88&gt;$A56))</f>
        <v>0</v>
      </c>
    </row>
    <row r="57" customFormat="false" ht="15" hidden="false" customHeight="false" outlineLevel="0" collapsed="false">
      <c r="A57" s="26" t="n">
        <v>52</v>
      </c>
      <c r="B57" s="47" t="n">
        <f aca="false">INDEX(Calendario!$B$3:$B$172,A57+1)</f>
        <v>46374</v>
      </c>
      <c r="C57" s="48" t="n">
        <f aca="false">SUMPRODUCT((Costos!$C$5:$C$88=C$4)*Costos!$E$5:$E$88*(Costos!$K$5:$K$88&lt;=$A57)*(Costos!$L$5:$L$88&gt;$A57))</f>
        <v>0.7</v>
      </c>
      <c r="D57" s="48" t="n">
        <f aca="false">SUMPRODUCT((Costos!$C$5:$C$88=D$4)*Costos!$E$5:$E$88*(Costos!$K$5:$K$88&lt;=$A57)*(Costos!$L$5:$L$88&gt;$A57))</f>
        <v>0.7</v>
      </c>
      <c r="E57" s="48" t="n">
        <f aca="false">SUMPRODUCT((Costos!$C$5:$C$88=E$4)*Costos!$E$5:$E$88*(Costos!$K$5:$K$88&lt;=$A57)*(Costos!$L$5:$L$88&gt;$A57))</f>
        <v>0.25</v>
      </c>
      <c r="F57" s="48" t="n">
        <f aca="false">SUMPRODUCT((Costos!$C$5:$C$88=F$4)*Costos!$E$5:$E$88*(Costos!$K$5:$K$88&lt;=$A57)*(Costos!$L$5:$L$88&gt;$A57))</f>
        <v>1.5</v>
      </c>
      <c r="G57" s="48" t="n">
        <f aca="false">SUMPRODUCT((Costos!$C$5:$C$88=G$4)*Costos!$E$5:$E$88*(Costos!$K$5:$K$88&lt;=$A57)*(Costos!$L$5:$L$88&gt;$A57))</f>
        <v>0.5</v>
      </c>
      <c r="H57" s="48" t="n">
        <f aca="false">SUMPRODUCT((Costos!$C$5:$C$88=H$4)*Costos!$E$5:$E$88*(Costos!$K$5:$K$88&lt;=$A57)*(Costos!$L$5:$L$88&gt;$A57))</f>
        <v>0</v>
      </c>
      <c r="I57" s="48" t="n">
        <f aca="false">SUMPRODUCT((Costos!$C$5:$C$88=I$4)*Costos!$E$5:$E$88*(Costos!$K$5:$K$88&lt;=$A57)*(Costos!$L$5:$L$88&gt;$A57))</f>
        <v>0</v>
      </c>
      <c r="J57" s="48" t="n">
        <f aca="false">SUMPRODUCT((Costos!$C$5:$C$88=J$4)*Costos!$E$5:$E$88*(Costos!$K$5:$K$88&lt;=$A57)*(Costos!$L$5:$L$88&gt;$A57))</f>
        <v>0</v>
      </c>
      <c r="K57" s="48" t="n">
        <f aca="false">SUMPRODUCT((Costos!$C$5:$C$88=K$4)*Costos!$E$5:$E$88*(Costos!$K$5:$K$88&lt;=$A57)*(Costos!$L$5:$L$88&gt;$A57))</f>
        <v>0.3</v>
      </c>
      <c r="L57" s="48" t="n">
        <f aca="false">SUMPRODUCT((Costos!$C$5:$C$88=L$4)*Costos!$E$5:$E$88*(Costos!$K$5:$K$88&lt;=$A57)*(Costos!$L$5:$L$88&gt;$A57))</f>
        <v>0.2</v>
      </c>
      <c r="M57" s="48" t="n">
        <f aca="false">SUMPRODUCT((Costos!$C$5:$C$88=M$4)*Costos!$E$5:$E$88*(Costos!$K$5:$K$88&lt;=$A57)*(Costos!$L$5:$L$88&gt;$A57))</f>
        <v>0.1</v>
      </c>
      <c r="N57" s="48" t="n">
        <f aca="false">SUMPRODUCT((Costos!$C$5:$C$88=N$4)*Costos!$E$5:$E$88*(Costos!$K$5:$K$88&lt;=$A57)*(Costos!$L$5:$L$88&gt;$A57))</f>
        <v>0</v>
      </c>
    </row>
    <row r="58" customFormat="false" ht="15" hidden="false" customHeight="false" outlineLevel="0" collapsed="false">
      <c r="A58" s="26" t="n">
        <v>53</v>
      </c>
      <c r="B58" s="47" t="n">
        <f aca="false">INDEX(Calendario!$B$3:$B$172,A58+1)</f>
        <v>46377</v>
      </c>
      <c r="C58" s="48" t="n">
        <f aca="false">SUMPRODUCT((Costos!$C$5:$C$88=C$4)*Costos!$E$5:$E$88*(Costos!$K$5:$K$88&lt;=$A58)*(Costos!$L$5:$L$88&gt;$A58))</f>
        <v>0.5</v>
      </c>
      <c r="D58" s="48" t="n">
        <f aca="false">SUMPRODUCT((Costos!$C$5:$C$88=D$4)*Costos!$E$5:$E$88*(Costos!$K$5:$K$88&lt;=$A58)*(Costos!$L$5:$L$88&gt;$A58))</f>
        <v>0.2</v>
      </c>
      <c r="E58" s="48" t="n">
        <f aca="false">SUMPRODUCT((Costos!$C$5:$C$88=E$4)*Costos!$E$5:$E$88*(Costos!$K$5:$K$88&lt;=$A58)*(Costos!$L$5:$L$88&gt;$A58))</f>
        <v>0</v>
      </c>
      <c r="F58" s="48" t="n">
        <f aca="false">SUMPRODUCT((Costos!$C$5:$C$88=F$4)*Costos!$E$5:$E$88*(Costos!$K$5:$K$88&lt;=$A58)*(Costos!$L$5:$L$88&gt;$A58))</f>
        <v>1</v>
      </c>
      <c r="G58" s="48" t="n">
        <f aca="false">SUMPRODUCT((Costos!$C$5:$C$88=G$4)*Costos!$E$5:$E$88*(Costos!$K$5:$K$88&lt;=$A58)*(Costos!$L$5:$L$88&gt;$A58))</f>
        <v>0.8</v>
      </c>
      <c r="H58" s="48" t="n">
        <f aca="false">SUMPRODUCT((Costos!$C$5:$C$88=H$4)*Costos!$E$5:$E$88*(Costos!$K$5:$K$88&lt;=$A58)*(Costos!$L$5:$L$88&gt;$A58))</f>
        <v>1</v>
      </c>
      <c r="I58" s="48" t="n">
        <f aca="false">SUMPRODUCT((Costos!$C$5:$C$88=I$4)*Costos!$E$5:$E$88*(Costos!$K$5:$K$88&lt;=$A58)*(Costos!$L$5:$L$88&gt;$A58))</f>
        <v>0</v>
      </c>
      <c r="J58" s="48" t="n">
        <f aca="false">SUMPRODUCT((Costos!$C$5:$C$88=J$4)*Costos!$E$5:$E$88*(Costos!$K$5:$K$88&lt;=$A58)*(Costos!$L$5:$L$88&gt;$A58))</f>
        <v>0</v>
      </c>
      <c r="K58" s="48" t="n">
        <f aca="false">SUMPRODUCT((Costos!$C$5:$C$88=K$4)*Costos!$E$5:$E$88*(Costos!$K$5:$K$88&lt;=$A58)*(Costos!$L$5:$L$88&gt;$A58))</f>
        <v>0</v>
      </c>
      <c r="L58" s="48" t="n">
        <f aca="false">SUMPRODUCT((Costos!$C$5:$C$88=L$4)*Costos!$E$5:$E$88*(Costos!$K$5:$K$88&lt;=$A58)*(Costos!$L$5:$L$88&gt;$A58))</f>
        <v>0</v>
      </c>
      <c r="M58" s="48" t="n">
        <f aca="false">SUMPRODUCT((Costos!$C$5:$C$88=M$4)*Costos!$E$5:$E$88*(Costos!$K$5:$K$88&lt;=$A58)*(Costos!$L$5:$L$88&gt;$A58))</f>
        <v>0</v>
      </c>
      <c r="N58" s="48" t="n">
        <f aca="false">SUMPRODUCT((Costos!$C$5:$C$88=N$4)*Costos!$E$5:$E$88*(Costos!$K$5:$K$88&lt;=$A58)*(Costos!$L$5:$L$88&gt;$A58))</f>
        <v>0</v>
      </c>
    </row>
    <row r="59" customFormat="false" ht="15" hidden="false" customHeight="false" outlineLevel="0" collapsed="false">
      <c r="A59" s="26" t="n">
        <v>54</v>
      </c>
      <c r="B59" s="47" t="n">
        <f aca="false">INDEX(Calendario!$B$3:$B$172,A59+1)</f>
        <v>46378</v>
      </c>
      <c r="C59" s="48" t="n">
        <f aca="false">SUMPRODUCT((Costos!$C$5:$C$88=C$4)*Costos!$E$5:$E$88*(Costos!$K$5:$K$88&lt;=$A59)*(Costos!$L$5:$L$88&gt;$A59))</f>
        <v>0.5</v>
      </c>
      <c r="D59" s="48" t="n">
        <f aca="false">SUMPRODUCT((Costos!$C$5:$C$88=D$4)*Costos!$E$5:$E$88*(Costos!$K$5:$K$88&lt;=$A59)*(Costos!$L$5:$L$88&gt;$A59))</f>
        <v>0.2</v>
      </c>
      <c r="E59" s="48" t="n">
        <f aca="false">SUMPRODUCT((Costos!$C$5:$C$88=E$4)*Costos!$E$5:$E$88*(Costos!$K$5:$K$88&lt;=$A59)*(Costos!$L$5:$L$88&gt;$A59))</f>
        <v>0</v>
      </c>
      <c r="F59" s="48" t="n">
        <f aca="false">SUMPRODUCT((Costos!$C$5:$C$88=F$4)*Costos!$E$5:$E$88*(Costos!$K$5:$K$88&lt;=$A59)*(Costos!$L$5:$L$88&gt;$A59))</f>
        <v>1</v>
      </c>
      <c r="G59" s="48" t="n">
        <f aca="false">SUMPRODUCT((Costos!$C$5:$C$88=G$4)*Costos!$E$5:$E$88*(Costos!$K$5:$K$88&lt;=$A59)*(Costos!$L$5:$L$88&gt;$A59))</f>
        <v>0.8</v>
      </c>
      <c r="H59" s="48" t="n">
        <f aca="false">SUMPRODUCT((Costos!$C$5:$C$88=H$4)*Costos!$E$5:$E$88*(Costos!$K$5:$K$88&lt;=$A59)*(Costos!$L$5:$L$88&gt;$A59))</f>
        <v>1</v>
      </c>
      <c r="I59" s="48" t="n">
        <f aca="false">SUMPRODUCT((Costos!$C$5:$C$88=I$4)*Costos!$E$5:$E$88*(Costos!$K$5:$K$88&lt;=$A59)*(Costos!$L$5:$L$88&gt;$A59))</f>
        <v>0</v>
      </c>
      <c r="J59" s="48" t="n">
        <f aca="false">SUMPRODUCT((Costos!$C$5:$C$88=J$4)*Costos!$E$5:$E$88*(Costos!$K$5:$K$88&lt;=$A59)*(Costos!$L$5:$L$88&gt;$A59))</f>
        <v>0</v>
      </c>
      <c r="K59" s="48" t="n">
        <f aca="false">SUMPRODUCT((Costos!$C$5:$C$88=K$4)*Costos!$E$5:$E$88*(Costos!$K$5:$K$88&lt;=$A59)*(Costos!$L$5:$L$88&gt;$A59))</f>
        <v>0</v>
      </c>
      <c r="L59" s="48" t="n">
        <f aca="false">SUMPRODUCT((Costos!$C$5:$C$88=L$4)*Costos!$E$5:$E$88*(Costos!$K$5:$K$88&lt;=$A59)*(Costos!$L$5:$L$88&gt;$A59))</f>
        <v>0</v>
      </c>
      <c r="M59" s="48" t="n">
        <f aca="false">SUMPRODUCT((Costos!$C$5:$C$88=M$4)*Costos!$E$5:$E$88*(Costos!$K$5:$K$88&lt;=$A59)*(Costos!$L$5:$L$88&gt;$A59))</f>
        <v>0</v>
      </c>
      <c r="N59" s="48" t="n">
        <f aca="false">SUMPRODUCT((Costos!$C$5:$C$88=N$4)*Costos!$E$5:$E$88*(Costos!$K$5:$K$88&lt;=$A59)*(Costos!$L$5:$L$88&gt;$A59))</f>
        <v>0</v>
      </c>
    </row>
    <row r="60" customFormat="false" ht="15" hidden="false" customHeight="false" outlineLevel="0" collapsed="false">
      <c r="A60" s="26" t="n">
        <v>55</v>
      </c>
      <c r="B60" s="47" t="n">
        <f aca="false">INDEX(Calendario!$B$3:$B$172,A60+1)</f>
        <v>46379</v>
      </c>
      <c r="C60" s="48" t="n">
        <f aca="false">SUMPRODUCT((Costos!$C$5:$C$88=C$4)*Costos!$E$5:$E$88*(Costos!$K$5:$K$88&lt;=$A60)*(Costos!$L$5:$L$88&gt;$A60))</f>
        <v>0.5</v>
      </c>
      <c r="D60" s="48" t="n">
        <f aca="false">SUMPRODUCT((Costos!$C$5:$C$88=D$4)*Costos!$E$5:$E$88*(Costos!$K$5:$K$88&lt;=$A60)*(Costos!$L$5:$L$88&gt;$A60))</f>
        <v>0.2</v>
      </c>
      <c r="E60" s="48" t="n">
        <f aca="false">SUMPRODUCT((Costos!$C$5:$C$88=E$4)*Costos!$E$5:$E$88*(Costos!$K$5:$K$88&lt;=$A60)*(Costos!$L$5:$L$88&gt;$A60))</f>
        <v>0</v>
      </c>
      <c r="F60" s="48" t="n">
        <f aca="false">SUMPRODUCT((Costos!$C$5:$C$88=F$4)*Costos!$E$5:$E$88*(Costos!$K$5:$K$88&lt;=$A60)*(Costos!$L$5:$L$88&gt;$A60))</f>
        <v>1</v>
      </c>
      <c r="G60" s="48" t="n">
        <f aca="false">SUMPRODUCT((Costos!$C$5:$C$88=G$4)*Costos!$E$5:$E$88*(Costos!$K$5:$K$88&lt;=$A60)*(Costos!$L$5:$L$88&gt;$A60))</f>
        <v>0.8</v>
      </c>
      <c r="H60" s="48" t="n">
        <f aca="false">SUMPRODUCT((Costos!$C$5:$C$88=H$4)*Costos!$E$5:$E$88*(Costos!$K$5:$K$88&lt;=$A60)*(Costos!$L$5:$L$88&gt;$A60))</f>
        <v>1</v>
      </c>
      <c r="I60" s="48" t="n">
        <f aca="false">SUMPRODUCT((Costos!$C$5:$C$88=I$4)*Costos!$E$5:$E$88*(Costos!$K$5:$K$88&lt;=$A60)*(Costos!$L$5:$L$88&gt;$A60))</f>
        <v>0</v>
      </c>
      <c r="J60" s="48" t="n">
        <f aca="false">SUMPRODUCT((Costos!$C$5:$C$88=J$4)*Costos!$E$5:$E$88*(Costos!$K$5:$K$88&lt;=$A60)*(Costos!$L$5:$L$88&gt;$A60))</f>
        <v>0</v>
      </c>
      <c r="K60" s="48" t="n">
        <f aca="false">SUMPRODUCT((Costos!$C$5:$C$88=K$4)*Costos!$E$5:$E$88*(Costos!$K$5:$K$88&lt;=$A60)*(Costos!$L$5:$L$88&gt;$A60))</f>
        <v>0</v>
      </c>
      <c r="L60" s="48" t="n">
        <f aca="false">SUMPRODUCT((Costos!$C$5:$C$88=L$4)*Costos!$E$5:$E$88*(Costos!$K$5:$K$88&lt;=$A60)*(Costos!$L$5:$L$88&gt;$A60))</f>
        <v>0</v>
      </c>
      <c r="M60" s="48" t="n">
        <f aca="false">SUMPRODUCT((Costos!$C$5:$C$88=M$4)*Costos!$E$5:$E$88*(Costos!$K$5:$K$88&lt;=$A60)*(Costos!$L$5:$L$88&gt;$A60))</f>
        <v>0</v>
      </c>
      <c r="N60" s="48" t="n">
        <f aca="false">SUMPRODUCT((Costos!$C$5:$C$88=N$4)*Costos!$E$5:$E$88*(Costos!$K$5:$K$88&lt;=$A60)*(Costos!$L$5:$L$88&gt;$A60))</f>
        <v>0</v>
      </c>
    </row>
    <row r="61" customFormat="false" ht="15" hidden="false" customHeight="false" outlineLevel="0" collapsed="false">
      <c r="A61" s="26" t="n">
        <v>56</v>
      </c>
      <c r="B61" s="47" t="n">
        <f aca="false">INDEX(Calendario!$B$3:$B$172,A61+1)</f>
        <v>46380</v>
      </c>
      <c r="C61" s="48" t="n">
        <f aca="false">SUMPRODUCT((Costos!$C$5:$C$88=C$4)*Costos!$E$5:$E$88*(Costos!$K$5:$K$88&lt;=$A61)*(Costos!$L$5:$L$88&gt;$A61))</f>
        <v>0.5</v>
      </c>
      <c r="D61" s="48" t="n">
        <f aca="false">SUMPRODUCT((Costos!$C$5:$C$88=D$4)*Costos!$E$5:$E$88*(Costos!$K$5:$K$88&lt;=$A61)*(Costos!$L$5:$L$88&gt;$A61))</f>
        <v>0.2</v>
      </c>
      <c r="E61" s="48" t="n">
        <f aca="false">SUMPRODUCT((Costos!$C$5:$C$88=E$4)*Costos!$E$5:$E$88*(Costos!$K$5:$K$88&lt;=$A61)*(Costos!$L$5:$L$88&gt;$A61))</f>
        <v>0</v>
      </c>
      <c r="F61" s="48" t="n">
        <f aca="false">SUMPRODUCT((Costos!$C$5:$C$88=F$4)*Costos!$E$5:$E$88*(Costos!$K$5:$K$88&lt;=$A61)*(Costos!$L$5:$L$88&gt;$A61))</f>
        <v>1</v>
      </c>
      <c r="G61" s="48" t="n">
        <f aca="false">SUMPRODUCT((Costos!$C$5:$C$88=G$4)*Costos!$E$5:$E$88*(Costos!$K$5:$K$88&lt;=$A61)*(Costos!$L$5:$L$88&gt;$A61))</f>
        <v>0.8</v>
      </c>
      <c r="H61" s="48" t="n">
        <f aca="false">SUMPRODUCT((Costos!$C$5:$C$88=H$4)*Costos!$E$5:$E$88*(Costos!$K$5:$K$88&lt;=$A61)*(Costos!$L$5:$L$88&gt;$A61))</f>
        <v>1</v>
      </c>
      <c r="I61" s="48" t="n">
        <f aca="false">SUMPRODUCT((Costos!$C$5:$C$88=I$4)*Costos!$E$5:$E$88*(Costos!$K$5:$K$88&lt;=$A61)*(Costos!$L$5:$L$88&gt;$A61))</f>
        <v>0</v>
      </c>
      <c r="J61" s="48" t="n">
        <f aca="false">SUMPRODUCT((Costos!$C$5:$C$88=J$4)*Costos!$E$5:$E$88*(Costos!$K$5:$K$88&lt;=$A61)*(Costos!$L$5:$L$88&gt;$A61))</f>
        <v>0</v>
      </c>
      <c r="K61" s="48" t="n">
        <f aca="false">SUMPRODUCT((Costos!$C$5:$C$88=K$4)*Costos!$E$5:$E$88*(Costos!$K$5:$K$88&lt;=$A61)*(Costos!$L$5:$L$88&gt;$A61))</f>
        <v>0</v>
      </c>
      <c r="L61" s="48" t="n">
        <f aca="false">SUMPRODUCT((Costos!$C$5:$C$88=L$4)*Costos!$E$5:$E$88*(Costos!$K$5:$K$88&lt;=$A61)*(Costos!$L$5:$L$88&gt;$A61))</f>
        <v>0</v>
      </c>
      <c r="M61" s="48" t="n">
        <f aca="false">SUMPRODUCT((Costos!$C$5:$C$88=M$4)*Costos!$E$5:$E$88*(Costos!$K$5:$K$88&lt;=$A61)*(Costos!$L$5:$L$88&gt;$A61))</f>
        <v>0</v>
      </c>
      <c r="N61" s="48" t="n">
        <f aca="false">SUMPRODUCT((Costos!$C$5:$C$88=N$4)*Costos!$E$5:$E$88*(Costos!$K$5:$K$88&lt;=$A61)*(Costos!$L$5:$L$88&gt;$A61))</f>
        <v>0</v>
      </c>
    </row>
    <row r="62" customFormat="false" ht="15" hidden="false" customHeight="false" outlineLevel="0" collapsed="false">
      <c r="A62" s="26" t="n">
        <v>57</v>
      </c>
      <c r="B62" s="47" t="n">
        <f aca="false">INDEX(Calendario!$B$3:$B$172,A62+1)</f>
        <v>46384</v>
      </c>
      <c r="C62" s="48" t="n">
        <f aca="false">SUMPRODUCT((Costos!$C$5:$C$88=C$4)*Costos!$E$5:$E$88*(Costos!$K$5:$K$88&lt;=$A62)*(Costos!$L$5:$L$88&gt;$A62))</f>
        <v>0.5</v>
      </c>
      <c r="D62" s="48" t="n">
        <f aca="false">SUMPRODUCT((Costos!$C$5:$C$88=D$4)*Costos!$E$5:$E$88*(Costos!$K$5:$K$88&lt;=$A62)*(Costos!$L$5:$L$88&gt;$A62))</f>
        <v>0.2</v>
      </c>
      <c r="E62" s="48" t="n">
        <f aca="false">SUMPRODUCT((Costos!$C$5:$C$88=E$4)*Costos!$E$5:$E$88*(Costos!$K$5:$K$88&lt;=$A62)*(Costos!$L$5:$L$88&gt;$A62))</f>
        <v>0</v>
      </c>
      <c r="F62" s="48" t="n">
        <f aca="false">SUMPRODUCT((Costos!$C$5:$C$88=F$4)*Costos!$E$5:$E$88*(Costos!$K$5:$K$88&lt;=$A62)*(Costos!$L$5:$L$88&gt;$A62))</f>
        <v>1</v>
      </c>
      <c r="G62" s="48" t="n">
        <f aca="false">SUMPRODUCT((Costos!$C$5:$C$88=G$4)*Costos!$E$5:$E$88*(Costos!$K$5:$K$88&lt;=$A62)*(Costos!$L$5:$L$88&gt;$A62))</f>
        <v>0.8</v>
      </c>
      <c r="H62" s="48" t="n">
        <f aca="false">SUMPRODUCT((Costos!$C$5:$C$88=H$4)*Costos!$E$5:$E$88*(Costos!$K$5:$K$88&lt;=$A62)*(Costos!$L$5:$L$88&gt;$A62))</f>
        <v>1</v>
      </c>
      <c r="I62" s="48" t="n">
        <f aca="false">SUMPRODUCT((Costos!$C$5:$C$88=I$4)*Costos!$E$5:$E$88*(Costos!$K$5:$K$88&lt;=$A62)*(Costos!$L$5:$L$88&gt;$A62))</f>
        <v>0</v>
      </c>
      <c r="J62" s="48" t="n">
        <f aca="false">SUMPRODUCT((Costos!$C$5:$C$88=J$4)*Costos!$E$5:$E$88*(Costos!$K$5:$K$88&lt;=$A62)*(Costos!$L$5:$L$88&gt;$A62))</f>
        <v>0</v>
      </c>
      <c r="K62" s="48" t="n">
        <f aca="false">SUMPRODUCT((Costos!$C$5:$C$88=K$4)*Costos!$E$5:$E$88*(Costos!$K$5:$K$88&lt;=$A62)*(Costos!$L$5:$L$88&gt;$A62))</f>
        <v>0</v>
      </c>
      <c r="L62" s="48" t="n">
        <f aca="false">SUMPRODUCT((Costos!$C$5:$C$88=L$4)*Costos!$E$5:$E$88*(Costos!$K$5:$K$88&lt;=$A62)*(Costos!$L$5:$L$88&gt;$A62))</f>
        <v>0</v>
      </c>
      <c r="M62" s="48" t="n">
        <f aca="false">SUMPRODUCT((Costos!$C$5:$C$88=M$4)*Costos!$E$5:$E$88*(Costos!$K$5:$K$88&lt;=$A62)*(Costos!$L$5:$L$88&gt;$A62))</f>
        <v>0</v>
      </c>
      <c r="N62" s="48" t="n">
        <f aca="false">SUMPRODUCT((Costos!$C$5:$C$88=N$4)*Costos!$E$5:$E$88*(Costos!$K$5:$K$88&lt;=$A62)*(Costos!$L$5:$L$88&gt;$A62))</f>
        <v>0</v>
      </c>
    </row>
    <row r="63" customFormat="false" ht="15" hidden="false" customHeight="false" outlineLevel="0" collapsed="false">
      <c r="A63" s="26" t="n">
        <v>58</v>
      </c>
      <c r="B63" s="47" t="n">
        <f aca="false">INDEX(Calendario!$B$3:$B$172,A63+1)</f>
        <v>46385</v>
      </c>
      <c r="C63" s="48" t="n">
        <f aca="false">SUMPRODUCT((Costos!$C$5:$C$88=C$4)*Costos!$E$5:$E$88*(Costos!$K$5:$K$88&lt;=$A63)*(Costos!$L$5:$L$88&gt;$A63))</f>
        <v>0.5</v>
      </c>
      <c r="D63" s="48" t="n">
        <f aca="false">SUMPRODUCT((Costos!$C$5:$C$88=D$4)*Costos!$E$5:$E$88*(Costos!$K$5:$K$88&lt;=$A63)*(Costos!$L$5:$L$88&gt;$A63))</f>
        <v>0</v>
      </c>
      <c r="E63" s="48" t="n">
        <f aca="false">SUMPRODUCT((Costos!$C$5:$C$88=E$4)*Costos!$E$5:$E$88*(Costos!$K$5:$K$88&lt;=$A63)*(Costos!$L$5:$L$88&gt;$A63))</f>
        <v>0.3</v>
      </c>
      <c r="F63" s="48" t="n">
        <f aca="false">SUMPRODUCT((Costos!$C$5:$C$88=F$4)*Costos!$E$5:$E$88*(Costos!$K$5:$K$88&lt;=$A63)*(Costos!$L$5:$L$88&gt;$A63))</f>
        <v>1</v>
      </c>
      <c r="G63" s="48" t="n">
        <f aca="false">SUMPRODUCT((Costos!$C$5:$C$88=G$4)*Costos!$E$5:$E$88*(Costos!$K$5:$K$88&lt;=$A63)*(Costos!$L$5:$L$88&gt;$A63))</f>
        <v>0.8</v>
      </c>
      <c r="H63" s="48" t="n">
        <f aca="false">SUMPRODUCT((Costos!$C$5:$C$88=H$4)*Costos!$E$5:$E$88*(Costos!$K$5:$K$88&lt;=$A63)*(Costos!$L$5:$L$88&gt;$A63))</f>
        <v>1</v>
      </c>
      <c r="I63" s="48" t="n">
        <f aca="false">SUMPRODUCT((Costos!$C$5:$C$88=I$4)*Costos!$E$5:$E$88*(Costos!$K$5:$K$88&lt;=$A63)*(Costos!$L$5:$L$88&gt;$A63))</f>
        <v>0</v>
      </c>
      <c r="J63" s="48" t="n">
        <f aca="false">SUMPRODUCT((Costos!$C$5:$C$88=J$4)*Costos!$E$5:$E$88*(Costos!$K$5:$K$88&lt;=$A63)*(Costos!$L$5:$L$88&gt;$A63))</f>
        <v>0</v>
      </c>
      <c r="K63" s="48" t="n">
        <f aca="false">SUMPRODUCT((Costos!$C$5:$C$88=K$4)*Costos!$E$5:$E$88*(Costos!$K$5:$K$88&lt;=$A63)*(Costos!$L$5:$L$88&gt;$A63))</f>
        <v>0</v>
      </c>
      <c r="L63" s="48" t="n">
        <f aca="false">SUMPRODUCT((Costos!$C$5:$C$88=L$4)*Costos!$E$5:$E$88*(Costos!$K$5:$K$88&lt;=$A63)*(Costos!$L$5:$L$88&gt;$A63))</f>
        <v>0</v>
      </c>
      <c r="M63" s="48" t="n">
        <f aca="false">SUMPRODUCT((Costos!$C$5:$C$88=M$4)*Costos!$E$5:$E$88*(Costos!$K$5:$K$88&lt;=$A63)*(Costos!$L$5:$L$88&gt;$A63))</f>
        <v>0</v>
      </c>
      <c r="N63" s="48" t="n">
        <f aca="false">SUMPRODUCT((Costos!$C$5:$C$88=N$4)*Costos!$E$5:$E$88*(Costos!$K$5:$K$88&lt;=$A63)*(Costos!$L$5:$L$88&gt;$A63))</f>
        <v>0</v>
      </c>
    </row>
    <row r="64" customFormat="false" ht="15" hidden="false" customHeight="false" outlineLevel="0" collapsed="false">
      <c r="A64" s="26" t="n">
        <v>59</v>
      </c>
      <c r="B64" s="47" t="n">
        <f aca="false">INDEX(Calendario!$B$3:$B$172,A64+1)</f>
        <v>46386</v>
      </c>
      <c r="C64" s="48" t="n">
        <f aca="false">SUMPRODUCT((Costos!$C$5:$C$88=C$4)*Costos!$E$5:$E$88*(Costos!$K$5:$K$88&lt;=$A64)*(Costos!$L$5:$L$88&gt;$A64))</f>
        <v>0.5</v>
      </c>
      <c r="D64" s="48" t="n">
        <f aca="false">SUMPRODUCT((Costos!$C$5:$C$88=D$4)*Costos!$E$5:$E$88*(Costos!$K$5:$K$88&lt;=$A64)*(Costos!$L$5:$L$88&gt;$A64))</f>
        <v>0</v>
      </c>
      <c r="E64" s="48" t="n">
        <f aca="false">SUMPRODUCT((Costos!$C$5:$C$88=E$4)*Costos!$E$5:$E$88*(Costos!$K$5:$K$88&lt;=$A64)*(Costos!$L$5:$L$88&gt;$A64))</f>
        <v>0.3</v>
      </c>
      <c r="F64" s="48" t="n">
        <f aca="false">SUMPRODUCT((Costos!$C$5:$C$88=F$4)*Costos!$E$5:$E$88*(Costos!$K$5:$K$88&lt;=$A64)*(Costos!$L$5:$L$88&gt;$A64))</f>
        <v>1</v>
      </c>
      <c r="G64" s="48" t="n">
        <f aca="false">SUMPRODUCT((Costos!$C$5:$C$88=G$4)*Costos!$E$5:$E$88*(Costos!$K$5:$K$88&lt;=$A64)*(Costos!$L$5:$L$88&gt;$A64))</f>
        <v>0.8</v>
      </c>
      <c r="H64" s="48" t="n">
        <f aca="false">SUMPRODUCT((Costos!$C$5:$C$88=H$4)*Costos!$E$5:$E$88*(Costos!$K$5:$K$88&lt;=$A64)*(Costos!$L$5:$L$88&gt;$A64))</f>
        <v>1</v>
      </c>
      <c r="I64" s="48" t="n">
        <f aca="false">SUMPRODUCT((Costos!$C$5:$C$88=I$4)*Costos!$E$5:$E$88*(Costos!$K$5:$K$88&lt;=$A64)*(Costos!$L$5:$L$88&gt;$A64))</f>
        <v>0</v>
      </c>
      <c r="J64" s="48" t="n">
        <f aca="false">SUMPRODUCT((Costos!$C$5:$C$88=J$4)*Costos!$E$5:$E$88*(Costos!$K$5:$K$88&lt;=$A64)*(Costos!$L$5:$L$88&gt;$A64))</f>
        <v>0</v>
      </c>
      <c r="K64" s="48" t="n">
        <f aca="false">SUMPRODUCT((Costos!$C$5:$C$88=K$4)*Costos!$E$5:$E$88*(Costos!$K$5:$K$88&lt;=$A64)*(Costos!$L$5:$L$88&gt;$A64))</f>
        <v>0</v>
      </c>
      <c r="L64" s="48" t="n">
        <f aca="false">SUMPRODUCT((Costos!$C$5:$C$88=L$4)*Costos!$E$5:$E$88*(Costos!$K$5:$K$88&lt;=$A64)*(Costos!$L$5:$L$88&gt;$A64))</f>
        <v>0</v>
      </c>
      <c r="M64" s="48" t="n">
        <f aca="false">SUMPRODUCT((Costos!$C$5:$C$88=M$4)*Costos!$E$5:$E$88*(Costos!$K$5:$K$88&lt;=$A64)*(Costos!$L$5:$L$88&gt;$A64))</f>
        <v>0</v>
      </c>
      <c r="N64" s="48" t="n">
        <f aca="false">SUMPRODUCT((Costos!$C$5:$C$88=N$4)*Costos!$E$5:$E$88*(Costos!$K$5:$K$88&lt;=$A64)*(Costos!$L$5:$L$88&gt;$A64))</f>
        <v>0</v>
      </c>
    </row>
    <row r="65" customFormat="false" ht="15" hidden="false" customHeight="false" outlineLevel="0" collapsed="false">
      <c r="A65" s="26" t="n">
        <v>60</v>
      </c>
      <c r="B65" s="47" t="n">
        <f aca="false">INDEX(Calendario!$B$3:$B$172,A65+1)</f>
        <v>46387</v>
      </c>
      <c r="C65" s="48" t="n">
        <f aca="false">SUMPRODUCT((Costos!$C$5:$C$88=C$4)*Costos!$E$5:$E$88*(Costos!$K$5:$K$88&lt;=$A65)*(Costos!$L$5:$L$88&gt;$A65))</f>
        <v>0.5</v>
      </c>
      <c r="D65" s="48" t="n">
        <f aca="false">SUMPRODUCT((Costos!$C$5:$C$88=D$4)*Costos!$E$5:$E$88*(Costos!$K$5:$K$88&lt;=$A65)*(Costos!$L$5:$L$88&gt;$A65))</f>
        <v>0</v>
      </c>
      <c r="E65" s="48" t="n">
        <f aca="false">SUMPRODUCT((Costos!$C$5:$C$88=E$4)*Costos!$E$5:$E$88*(Costos!$K$5:$K$88&lt;=$A65)*(Costos!$L$5:$L$88&gt;$A65))</f>
        <v>0.3</v>
      </c>
      <c r="F65" s="48" t="n">
        <f aca="false">SUMPRODUCT((Costos!$C$5:$C$88=F$4)*Costos!$E$5:$E$88*(Costos!$K$5:$K$88&lt;=$A65)*(Costos!$L$5:$L$88&gt;$A65))</f>
        <v>1</v>
      </c>
      <c r="G65" s="48" t="n">
        <f aca="false">SUMPRODUCT((Costos!$C$5:$C$88=G$4)*Costos!$E$5:$E$88*(Costos!$K$5:$K$88&lt;=$A65)*(Costos!$L$5:$L$88&gt;$A65))</f>
        <v>0.8</v>
      </c>
      <c r="H65" s="48" t="n">
        <f aca="false">SUMPRODUCT((Costos!$C$5:$C$88=H$4)*Costos!$E$5:$E$88*(Costos!$K$5:$K$88&lt;=$A65)*(Costos!$L$5:$L$88&gt;$A65))</f>
        <v>1</v>
      </c>
      <c r="I65" s="48" t="n">
        <f aca="false">SUMPRODUCT((Costos!$C$5:$C$88=I$4)*Costos!$E$5:$E$88*(Costos!$K$5:$K$88&lt;=$A65)*(Costos!$L$5:$L$88&gt;$A65))</f>
        <v>0</v>
      </c>
      <c r="J65" s="48" t="n">
        <f aca="false">SUMPRODUCT((Costos!$C$5:$C$88=J$4)*Costos!$E$5:$E$88*(Costos!$K$5:$K$88&lt;=$A65)*(Costos!$L$5:$L$88&gt;$A65))</f>
        <v>0</v>
      </c>
      <c r="K65" s="48" t="n">
        <f aca="false">SUMPRODUCT((Costos!$C$5:$C$88=K$4)*Costos!$E$5:$E$88*(Costos!$K$5:$K$88&lt;=$A65)*(Costos!$L$5:$L$88&gt;$A65))</f>
        <v>0</v>
      </c>
      <c r="L65" s="48" t="n">
        <f aca="false">SUMPRODUCT((Costos!$C$5:$C$88=L$4)*Costos!$E$5:$E$88*(Costos!$K$5:$K$88&lt;=$A65)*(Costos!$L$5:$L$88&gt;$A65))</f>
        <v>0</v>
      </c>
      <c r="M65" s="48" t="n">
        <f aca="false">SUMPRODUCT((Costos!$C$5:$C$88=M$4)*Costos!$E$5:$E$88*(Costos!$K$5:$K$88&lt;=$A65)*(Costos!$L$5:$L$88&gt;$A65))</f>
        <v>0</v>
      </c>
      <c r="N65" s="48" t="n">
        <f aca="false">SUMPRODUCT((Costos!$C$5:$C$88=N$4)*Costos!$E$5:$E$88*(Costos!$K$5:$K$88&lt;=$A65)*(Costos!$L$5:$L$88&gt;$A65))</f>
        <v>0</v>
      </c>
    </row>
    <row r="66" customFormat="false" ht="15" hidden="false" customHeight="false" outlineLevel="0" collapsed="false">
      <c r="A66" s="26" t="n">
        <v>61</v>
      </c>
      <c r="B66" s="47" t="n">
        <f aca="false">INDEX(Calendario!$B$3:$B$172,A66+1)</f>
        <v>46391</v>
      </c>
      <c r="C66" s="48" t="n">
        <f aca="false">SUMPRODUCT((Costos!$C$5:$C$88=C$4)*Costos!$E$5:$E$88*(Costos!$K$5:$K$88&lt;=$A66)*(Costos!$L$5:$L$88&gt;$A66))</f>
        <v>0.5</v>
      </c>
      <c r="D66" s="48" t="n">
        <f aca="false">SUMPRODUCT((Costos!$C$5:$C$88=D$4)*Costos!$E$5:$E$88*(Costos!$K$5:$K$88&lt;=$A66)*(Costos!$L$5:$L$88&gt;$A66))</f>
        <v>0</v>
      </c>
      <c r="E66" s="48" t="n">
        <f aca="false">SUMPRODUCT((Costos!$C$5:$C$88=E$4)*Costos!$E$5:$E$88*(Costos!$K$5:$K$88&lt;=$A66)*(Costos!$L$5:$L$88&gt;$A66))</f>
        <v>0.3</v>
      </c>
      <c r="F66" s="48" t="n">
        <f aca="false">SUMPRODUCT((Costos!$C$5:$C$88=F$4)*Costos!$E$5:$E$88*(Costos!$K$5:$K$88&lt;=$A66)*(Costos!$L$5:$L$88&gt;$A66))</f>
        <v>1</v>
      </c>
      <c r="G66" s="48" t="n">
        <f aca="false">SUMPRODUCT((Costos!$C$5:$C$88=G$4)*Costos!$E$5:$E$88*(Costos!$K$5:$K$88&lt;=$A66)*(Costos!$L$5:$L$88&gt;$A66))</f>
        <v>0.8</v>
      </c>
      <c r="H66" s="48" t="n">
        <f aca="false">SUMPRODUCT((Costos!$C$5:$C$88=H$4)*Costos!$E$5:$E$88*(Costos!$K$5:$K$88&lt;=$A66)*(Costos!$L$5:$L$88&gt;$A66))</f>
        <v>1</v>
      </c>
      <c r="I66" s="48" t="n">
        <f aca="false">SUMPRODUCT((Costos!$C$5:$C$88=I$4)*Costos!$E$5:$E$88*(Costos!$K$5:$K$88&lt;=$A66)*(Costos!$L$5:$L$88&gt;$A66))</f>
        <v>0</v>
      </c>
      <c r="J66" s="48" t="n">
        <f aca="false">SUMPRODUCT((Costos!$C$5:$C$88=J$4)*Costos!$E$5:$E$88*(Costos!$K$5:$K$88&lt;=$A66)*(Costos!$L$5:$L$88&gt;$A66))</f>
        <v>0</v>
      </c>
      <c r="K66" s="48" t="n">
        <f aca="false">SUMPRODUCT((Costos!$C$5:$C$88=K$4)*Costos!$E$5:$E$88*(Costos!$K$5:$K$88&lt;=$A66)*(Costos!$L$5:$L$88&gt;$A66))</f>
        <v>0</v>
      </c>
      <c r="L66" s="48" t="n">
        <f aca="false">SUMPRODUCT((Costos!$C$5:$C$88=L$4)*Costos!$E$5:$E$88*(Costos!$K$5:$K$88&lt;=$A66)*(Costos!$L$5:$L$88&gt;$A66))</f>
        <v>0</v>
      </c>
      <c r="M66" s="48" t="n">
        <f aca="false">SUMPRODUCT((Costos!$C$5:$C$88=M$4)*Costos!$E$5:$E$88*(Costos!$K$5:$K$88&lt;=$A66)*(Costos!$L$5:$L$88&gt;$A66))</f>
        <v>0</v>
      </c>
      <c r="N66" s="48" t="n">
        <f aca="false">SUMPRODUCT((Costos!$C$5:$C$88=N$4)*Costos!$E$5:$E$88*(Costos!$K$5:$K$88&lt;=$A66)*(Costos!$L$5:$L$88&gt;$A66))</f>
        <v>0</v>
      </c>
    </row>
    <row r="67" customFormat="false" ht="15" hidden="false" customHeight="false" outlineLevel="0" collapsed="false">
      <c r="A67" s="26" t="n">
        <v>62</v>
      </c>
      <c r="B67" s="47" t="n">
        <f aca="false">INDEX(Calendario!$B$3:$B$172,A67+1)</f>
        <v>46392</v>
      </c>
      <c r="C67" s="48" t="n">
        <f aca="false">SUMPRODUCT((Costos!$C$5:$C$88=C$4)*Costos!$E$5:$E$88*(Costos!$K$5:$K$88&lt;=$A67)*(Costos!$L$5:$L$88&gt;$A67))</f>
        <v>0.5</v>
      </c>
      <c r="D67" s="48" t="n">
        <f aca="false">SUMPRODUCT((Costos!$C$5:$C$88=D$4)*Costos!$E$5:$E$88*(Costos!$K$5:$K$88&lt;=$A67)*(Costos!$L$5:$L$88&gt;$A67))</f>
        <v>0</v>
      </c>
      <c r="E67" s="48" t="n">
        <f aca="false">SUMPRODUCT((Costos!$C$5:$C$88=E$4)*Costos!$E$5:$E$88*(Costos!$K$5:$K$88&lt;=$A67)*(Costos!$L$5:$L$88&gt;$A67))</f>
        <v>0.3</v>
      </c>
      <c r="F67" s="48" t="n">
        <f aca="false">SUMPRODUCT((Costos!$C$5:$C$88=F$4)*Costos!$E$5:$E$88*(Costos!$K$5:$K$88&lt;=$A67)*(Costos!$L$5:$L$88&gt;$A67))</f>
        <v>1</v>
      </c>
      <c r="G67" s="48" t="n">
        <f aca="false">SUMPRODUCT((Costos!$C$5:$C$88=G$4)*Costos!$E$5:$E$88*(Costos!$K$5:$K$88&lt;=$A67)*(Costos!$L$5:$L$88&gt;$A67))</f>
        <v>0.8</v>
      </c>
      <c r="H67" s="48" t="n">
        <f aca="false">SUMPRODUCT((Costos!$C$5:$C$88=H$4)*Costos!$E$5:$E$88*(Costos!$K$5:$K$88&lt;=$A67)*(Costos!$L$5:$L$88&gt;$A67))</f>
        <v>1</v>
      </c>
      <c r="I67" s="48" t="n">
        <f aca="false">SUMPRODUCT((Costos!$C$5:$C$88=I$4)*Costos!$E$5:$E$88*(Costos!$K$5:$K$88&lt;=$A67)*(Costos!$L$5:$L$88&gt;$A67))</f>
        <v>0</v>
      </c>
      <c r="J67" s="48" t="n">
        <f aca="false">SUMPRODUCT((Costos!$C$5:$C$88=J$4)*Costos!$E$5:$E$88*(Costos!$K$5:$K$88&lt;=$A67)*(Costos!$L$5:$L$88&gt;$A67))</f>
        <v>0</v>
      </c>
      <c r="K67" s="48" t="n">
        <f aca="false">SUMPRODUCT((Costos!$C$5:$C$88=K$4)*Costos!$E$5:$E$88*(Costos!$K$5:$K$88&lt;=$A67)*(Costos!$L$5:$L$88&gt;$A67))</f>
        <v>0</v>
      </c>
      <c r="L67" s="48" t="n">
        <f aca="false">SUMPRODUCT((Costos!$C$5:$C$88=L$4)*Costos!$E$5:$E$88*(Costos!$K$5:$K$88&lt;=$A67)*(Costos!$L$5:$L$88&gt;$A67))</f>
        <v>0</v>
      </c>
      <c r="M67" s="48" t="n">
        <f aca="false">SUMPRODUCT((Costos!$C$5:$C$88=M$4)*Costos!$E$5:$E$88*(Costos!$K$5:$K$88&lt;=$A67)*(Costos!$L$5:$L$88&gt;$A67))</f>
        <v>0</v>
      </c>
      <c r="N67" s="48" t="n">
        <f aca="false">SUMPRODUCT((Costos!$C$5:$C$88=N$4)*Costos!$E$5:$E$88*(Costos!$K$5:$K$88&lt;=$A67)*(Costos!$L$5:$L$88&gt;$A67))</f>
        <v>0</v>
      </c>
    </row>
    <row r="68" customFormat="false" ht="15" hidden="false" customHeight="false" outlineLevel="0" collapsed="false">
      <c r="A68" s="26" t="n">
        <v>63</v>
      </c>
      <c r="B68" s="47" t="n">
        <f aca="false">INDEX(Calendario!$B$3:$B$172,A68+1)</f>
        <v>46393</v>
      </c>
      <c r="C68" s="48" t="n">
        <f aca="false">SUMPRODUCT((Costos!$C$5:$C$88=C$4)*Costos!$E$5:$E$88*(Costos!$K$5:$K$88&lt;=$A68)*(Costos!$L$5:$L$88&gt;$A68))</f>
        <v>0.5</v>
      </c>
      <c r="D68" s="48" t="n">
        <f aca="false">SUMPRODUCT((Costos!$C$5:$C$88=D$4)*Costos!$E$5:$E$88*(Costos!$K$5:$K$88&lt;=$A68)*(Costos!$L$5:$L$88&gt;$A68))</f>
        <v>0</v>
      </c>
      <c r="E68" s="48" t="n">
        <f aca="false">SUMPRODUCT((Costos!$C$5:$C$88=E$4)*Costos!$E$5:$E$88*(Costos!$K$5:$K$88&lt;=$A68)*(Costos!$L$5:$L$88&gt;$A68))</f>
        <v>0.3</v>
      </c>
      <c r="F68" s="48" t="n">
        <f aca="false">SUMPRODUCT((Costos!$C$5:$C$88=F$4)*Costos!$E$5:$E$88*(Costos!$K$5:$K$88&lt;=$A68)*(Costos!$L$5:$L$88&gt;$A68))</f>
        <v>1</v>
      </c>
      <c r="G68" s="48" t="n">
        <f aca="false">SUMPRODUCT((Costos!$C$5:$C$88=G$4)*Costos!$E$5:$E$88*(Costos!$K$5:$K$88&lt;=$A68)*(Costos!$L$5:$L$88&gt;$A68))</f>
        <v>0.8</v>
      </c>
      <c r="H68" s="48" t="n">
        <f aca="false">SUMPRODUCT((Costos!$C$5:$C$88=H$4)*Costos!$E$5:$E$88*(Costos!$K$5:$K$88&lt;=$A68)*(Costos!$L$5:$L$88&gt;$A68))</f>
        <v>1</v>
      </c>
      <c r="I68" s="48" t="n">
        <f aca="false">SUMPRODUCT((Costos!$C$5:$C$88=I$4)*Costos!$E$5:$E$88*(Costos!$K$5:$K$88&lt;=$A68)*(Costos!$L$5:$L$88&gt;$A68))</f>
        <v>0</v>
      </c>
      <c r="J68" s="48" t="n">
        <f aca="false">SUMPRODUCT((Costos!$C$5:$C$88=J$4)*Costos!$E$5:$E$88*(Costos!$K$5:$K$88&lt;=$A68)*(Costos!$L$5:$L$88&gt;$A68))</f>
        <v>0</v>
      </c>
      <c r="K68" s="48" t="n">
        <f aca="false">SUMPRODUCT((Costos!$C$5:$C$88=K$4)*Costos!$E$5:$E$88*(Costos!$K$5:$K$88&lt;=$A68)*(Costos!$L$5:$L$88&gt;$A68))</f>
        <v>0</v>
      </c>
      <c r="L68" s="48" t="n">
        <f aca="false">SUMPRODUCT((Costos!$C$5:$C$88=L$4)*Costos!$E$5:$E$88*(Costos!$K$5:$K$88&lt;=$A68)*(Costos!$L$5:$L$88&gt;$A68))</f>
        <v>0</v>
      </c>
      <c r="M68" s="48" t="n">
        <f aca="false">SUMPRODUCT((Costos!$C$5:$C$88=M$4)*Costos!$E$5:$E$88*(Costos!$K$5:$K$88&lt;=$A68)*(Costos!$L$5:$L$88&gt;$A68))</f>
        <v>0</v>
      </c>
      <c r="N68" s="48" t="n">
        <f aca="false">SUMPRODUCT((Costos!$C$5:$C$88=N$4)*Costos!$E$5:$E$88*(Costos!$K$5:$K$88&lt;=$A68)*(Costos!$L$5:$L$88&gt;$A68))</f>
        <v>0</v>
      </c>
    </row>
    <row r="69" customFormat="false" ht="15" hidden="false" customHeight="false" outlineLevel="0" collapsed="false">
      <c r="A69" s="26" t="n">
        <v>64</v>
      </c>
      <c r="B69" s="47" t="n">
        <f aca="false">INDEX(Calendario!$B$3:$B$172,A69+1)</f>
        <v>46394</v>
      </c>
      <c r="C69" s="48" t="n">
        <f aca="false">SUMPRODUCT((Costos!$C$5:$C$88=C$4)*Costos!$E$5:$E$88*(Costos!$K$5:$K$88&lt;=$A69)*(Costos!$L$5:$L$88&gt;$A69))</f>
        <v>0.5</v>
      </c>
      <c r="D69" s="48" t="n">
        <f aca="false">SUMPRODUCT((Costos!$C$5:$C$88=D$4)*Costos!$E$5:$E$88*(Costos!$K$5:$K$88&lt;=$A69)*(Costos!$L$5:$L$88&gt;$A69))</f>
        <v>0</v>
      </c>
      <c r="E69" s="48" t="n">
        <f aca="false">SUMPRODUCT((Costos!$C$5:$C$88=E$4)*Costos!$E$5:$E$88*(Costos!$K$5:$K$88&lt;=$A69)*(Costos!$L$5:$L$88&gt;$A69))</f>
        <v>0.3</v>
      </c>
      <c r="F69" s="48" t="n">
        <f aca="false">SUMPRODUCT((Costos!$C$5:$C$88=F$4)*Costos!$E$5:$E$88*(Costos!$K$5:$K$88&lt;=$A69)*(Costos!$L$5:$L$88&gt;$A69))</f>
        <v>1</v>
      </c>
      <c r="G69" s="48" t="n">
        <f aca="false">SUMPRODUCT((Costos!$C$5:$C$88=G$4)*Costos!$E$5:$E$88*(Costos!$K$5:$K$88&lt;=$A69)*(Costos!$L$5:$L$88&gt;$A69))</f>
        <v>0.8</v>
      </c>
      <c r="H69" s="48" t="n">
        <f aca="false">SUMPRODUCT((Costos!$C$5:$C$88=H$4)*Costos!$E$5:$E$88*(Costos!$K$5:$K$88&lt;=$A69)*(Costos!$L$5:$L$88&gt;$A69))</f>
        <v>1</v>
      </c>
      <c r="I69" s="48" t="n">
        <f aca="false">SUMPRODUCT((Costos!$C$5:$C$88=I$4)*Costos!$E$5:$E$88*(Costos!$K$5:$K$88&lt;=$A69)*(Costos!$L$5:$L$88&gt;$A69))</f>
        <v>0</v>
      </c>
      <c r="J69" s="48" t="n">
        <f aca="false">SUMPRODUCT((Costos!$C$5:$C$88=J$4)*Costos!$E$5:$E$88*(Costos!$K$5:$K$88&lt;=$A69)*(Costos!$L$5:$L$88&gt;$A69))</f>
        <v>0</v>
      </c>
      <c r="K69" s="48" t="n">
        <f aca="false">SUMPRODUCT((Costos!$C$5:$C$88=K$4)*Costos!$E$5:$E$88*(Costos!$K$5:$K$88&lt;=$A69)*(Costos!$L$5:$L$88&gt;$A69))</f>
        <v>0</v>
      </c>
      <c r="L69" s="48" t="n">
        <f aca="false">SUMPRODUCT((Costos!$C$5:$C$88=L$4)*Costos!$E$5:$E$88*(Costos!$K$5:$K$88&lt;=$A69)*(Costos!$L$5:$L$88&gt;$A69))</f>
        <v>0</v>
      </c>
      <c r="M69" s="48" t="n">
        <f aca="false">SUMPRODUCT((Costos!$C$5:$C$88=M$4)*Costos!$E$5:$E$88*(Costos!$K$5:$K$88&lt;=$A69)*(Costos!$L$5:$L$88&gt;$A69))</f>
        <v>0</v>
      </c>
      <c r="N69" s="48" t="n">
        <f aca="false">SUMPRODUCT((Costos!$C$5:$C$88=N$4)*Costos!$E$5:$E$88*(Costos!$K$5:$K$88&lt;=$A69)*(Costos!$L$5:$L$88&gt;$A69))</f>
        <v>0</v>
      </c>
    </row>
    <row r="70" customFormat="false" ht="15" hidden="false" customHeight="false" outlineLevel="0" collapsed="false">
      <c r="A70" s="26" t="n">
        <v>65</v>
      </c>
      <c r="B70" s="47" t="n">
        <f aca="false">INDEX(Calendario!$B$3:$B$172,A70+1)</f>
        <v>46395</v>
      </c>
      <c r="C70" s="48" t="n">
        <f aca="false">SUMPRODUCT((Costos!$C$5:$C$88=C$4)*Costos!$E$5:$E$88*(Costos!$K$5:$K$88&lt;=$A70)*(Costos!$L$5:$L$88&gt;$A70))</f>
        <v>0.5</v>
      </c>
      <c r="D70" s="48" t="n">
        <f aca="false">SUMPRODUCT((Costos!$C$5:$C$88=D$4)*Costos!$E$5:$E$88*(Costos!$K$5:$K$88&lt;=$A70)*(Costos!$L$5:$L$88&gt;$A70))</f>
        <v>0</v>
      </c>
      <c r="E70" s="48" t="n">
        <f aca="false">SUMPRODUCT((Costos!$C$5:$C$88=E$4)*Costos!$E$5:$E$88*(Costos!$K$5:$K$88&lt;=$A70)*(Costos!$L$5:$L$88&gt;$A70))</f>
        <v>0.3</v>
      </c>
      <c r="F70" s="48" t="n">
        <f aca="false">SUMPRODUCT((Costos!$C$5:$C$88=F$4)*Costos!$E$5:$E$88*(Costos!$K$5:$K$88&lt;=$A70)*(Costos!$L$5:$L$88&gt;$A70))</f>
        <v>1</v>
      </c>
      <c r="G70" s="48" t="n">
        <f aca="false">SUMPRODUCT((Costos!$C$5:$C$88=G$4)*Costos!$E$5:$E$88*(Costos!$K$5:$K$88&lt;=$A70)*(Costos!$L$5:$L$88&gt;$A70))</f>
        <v>0.2</v>
      </c>
      <c r="H70" s="48" t="n">
        <f aca="false">SUMPRODUCT((Costos!$C$5:$C$88=H$4)*Costos!$E$5:$E$88*(Costos!$K$5:$K$88&lt;=$A70)*(Costos!$L$5:$L$88&gt;$A70))</f>
        <v>0</v>
      </c>
      <c r="I70" s="48" t="n">
        <f aca="false">SUMPRODUCT((Costos!$C$5:$C$88=I$4)*Costos!$E$5:$E$88*(Costos!$K$5:$K$88&lt;=$A70)*(Costos!$L$5:$L$88&gt;$A70))</f>
        <v>0</v>
      </c>
      <c r="J70" s="48" t="n">
        <f aca="false">SUMPRODUCT((Costos!$C$5:$C$88=J$4)*Costos!$E$5:$E$88*(Costos!$K$5:$K$88&lt;=$A70)*(Costos!$L$5:$L$88&gt;$A70))</f>
        <v>0</v>
      </c>
      <c r="K70" s="48" t="n">
        <f aca="false">SUMPRODUCT((Costos!$C$5:$C$88=K$4)*Costos!$E$5:$E$88*(Costos!$K$5:$K$88&lt;=$A70)*(Costos!$L$5:$L$88&gt;$A70))</f>
        <v>0</v>
      </c>
      <c r="L70" s="48" t="n">
        <f aca="false">SUMPRODUCT((Costos!$C$5:$C$88=L$4)*Costos!$E$5:$E$88*(Costos!$K$5:$K$88&lt;=$A70)*(Costos!$L$5:$L$88&gt;$A70))</f>
        <v>0</v>
      </c>
      <c r="M70" s="48" t="n">
        <f aca="false">SUMPRODUCT((Costos!$C$5:$C$88=M$4)*Costos!$E$5:$E$88*(Costos!$K$5:$K$88&lt;=$A70)*(Costos!$L$5:$L$88&gt;$A70))</f>
        <v>0</v>
      </c>
      <c r="N70" s="48" t="n">
        <f aca="false">SUMPRODUCT((Costos!$C$5:$C$88=N$4)*Costos!$E$5:$E$88*(Costos!$K$5:$K$88&lt;=$A70)*(Costos!$L$5:$L$88&gt;$A70))</f>
        <v>0</v>
      </c>
    </row>
    <row r="71" customFormat="false" ht="15" hidden="false" customHeight="false" outlineLevel="0" collapsed="false">
      <c r="A71" s="26" t="n">
        <v>66</v>
      </c>
      <c r="B71" s="47" t="n">
        <f aca="false">INDEX(Calendario!$B$3:$B$172,A71+1)</f>
        <v>46398</v>
      </c>
      <c r="C71" s="48" t="n">
        <f aca="false">SUMPRODUCT((Costos!$C$5:$C$88=C$4)*Costos!$E$5:$E$88*(Costos!$K$5:$K$88&lt;=$A71)*(Costos!$L$5:$L$88&gt;$A71))</f>
        <v>0.5</v>
      </c>
      <c r="D71" s="48" t="n">
        <f aca="false">SUMPRODUCT((Costos!$C$5:$C$88=D$4)*Costos!$E$5:$E$88*(Costos!$K$5:$K$88&lt;=$A71)*(Costos!$L$5:$L$88&gt;$A71))</f>
        <v>0</v>
      </c>
      <c r="E71" s="48" t="n">
        <f aca="false">SUMPRODUCT((Costos!$C$5:$C$88=E$4)*Costos!$E$5:$E$88*(Costos!$K$5:$K$88&lt;=$A71)*(Costos!$L$5:$L$88&gt;$A71))</f>
        <v>0.3</v>
      </c>
      <c r="F71" s="48" t="n">
        <f aca="false">SUMPRODUCT((Costos!$C$5:$C$88=F$4)*Costos!$E$5:$E$88*(Costos!$K$5:$K$88&lt;=$A71)*(Costos!$L$5:$L$88&gt;$A71))</f>
        <v>1</v>
      </c>
      <c r="G71" s="48" t="n">
        <f aca="false">SUMPRODUCT((Costos!$C$5:$C$88=G$4)*Costos!$E$5:$E$88*(Costos!$K$5:$K$88&lt;=$A71)*(Costos!$L$5:$L$88&gt;$A71))</f>
        <v>0.2</v>
      </c>
      <c r="H71" s="48" t="n">
        <f aca="false">SUMPRODUCT((Costos!$C$5:$C$88=H$4)*Costos!$E$5:$E$88*(Costos!$K$5:$K$88&lt;=$A71)*(Costos!$L$5:$L$88&gt;$A71))</f>
        <v>0</v>
      </c>
      <c r="I71" s="48" t="n">
        <f aca="false">SUMPRODUCT((Costos!$C$5:$C$88=I$4)*Costos!$E$5:$E$88*(Costos!$K$5:$K$88&lt;=$A71)*(Costos!$L$5:$L$88&gt;$A71))</f>
        <v>0</v>
      </c>
      <c r="J71" s="48" t="n">
        <f aca="false">SUMPRODUCT((Costos!$C$5:$C$88=J$4)*Costos!$E$5:$E$88*(Costos!$K$5:$K$88&lt;=$A71)*(Costos!$L$5:$L$88&gt;$A71))</f>
        <v>0</v>
      </c>
      <c r="K71" s="48" t="n">
        <f aca="false">SUMPRODUCT((Costos!$C$5:$C$88=K$4)*Costos!$E$5:$E$88*(Costos!$K$5:$K$88&lt;=$A71)*(Costos!$L$5:$L$88&gt;$A71))</f>
        <v>0</v>
      </c>
      <c r="L71" s="48" t="n">
        <f aca="false">SUMPRODUCT((Costos!$C$5:$C$88=L$4)*Costos!$E$5:$E$88*(Costos!$K$5:$K$88&lt;=$A71)*(Costos!$L$5:$L$88&gt;$A71))</f>
        <v>0</v>
      </c>
      <c r="M71" s="48" t="n">
        <f aca="false">SUMPRODUCT((Costos!$C$5:$C$88=M$4)*Costos!$E$5:$E$88*(Costos!$K$5:$K$88&lt;=$A71)*(Costos!$L$5:$L$88&gt;$A71))</f>
        <v>0</v>
      </c>
      <c r="N71" s="48" t="n">
        <f aca="false">SUMPRODUCT((Costos!$C$5:$C$88=N$4)*Costos!$E$5:$E$88*(Costos!$K$5:$K$88&lt;=$A71)*(Costos!$L$5:$L$88&gt;$A71))</f>
        <v>0</v>
      </c>
    </row>
    <row r="72" customFormat="false" ht="15" hidden="false" customHeight="false" outlineLevel="0" collapsed="false">
      <c r="A72" s="26" t="n">
        <v>67</v>
      </c>
      <c r="B72" s="47" t="n">
        <f aca="false">INDEX(Calendario!$B$3:$B$172,A72+1)</f>
        <v>46399</v>
      </c>
      <c r="C72" s="48" t="n">
        <f aca="false">SUMPRODUCT((Costos!$C$5:$C$88=C$4)*Costos!$E$5:$E$88*(Costos!$K$5:$K$88&lt;=$A72)*(Costos!$L$5:$L$88&gt;$A72))</f>
        <v>0.5</v>
      </c>
      <c r="D72" s="48" t="n">
        <f aca="false">SUMPRODUCT((Costos!$C$5:$C$88=D$4)*Costos!$E$5:$E$88*(Costos!$K$5:$K$88&lt;=$A72)*(Costos!$L$5:$L$88&gt;$A72))</f>
        <v>0</v>
      </c>
      <c r="E72" s="48" t="n">
        <f aca="false">SUMPRODUCT((Costos!$C$5:$C$88=E$4)*Costos!$E$5:$E$88*(Costos!$K$5:$K$88&lt;=$A72)*(Costos!$L$5:$L$88&gt;$A72))</f>
        <v>0.3</v>
      </c>
      <c r="F72" s="48" t="n">
        <f aca="false">SUMPRODUCT((Costos!$C$5:$C$88=F$4)*Costos!$E$5:$E$88*(Costos!$K$5:$K$88&lt;=$A72)*(Costos!$L$5:$L$88&gt;$A72))</f>
        <v>1</v>
      </c>
      <c r="G72" s="48" t="n">
        <f aca="false">SUMPRODUCT((Costos!$C$5:$C$88=G$4)*Costos!$E$5:$E$88*(Costos!$K$5:$K$88&lt;=$A72)*(Costos!$L$5:$L$88&gt;$A72))</f>
        <v>0.2</v>
      </c>
      <c r="H72" s="48" t="n">
        <f aca="false">SUMPRODUCT((Costos!$C$5:$C$88=H$4)*Costos!$E$5:$E$88*(Costos!$K$5:$K$88&lt;=$A72)*(Costos!$L$5:$L$88&gt;$A72))</f>
        <v>0</v>
      </c>
      <c r="I72" s="48" t="n">
        <f aca="false">SUMPRODUCT((Costos!$C$5:$C$88=I$4)*Costos!$E$5:$E$88*(Costos!$K$5:$K$88&lt;=$A72)*(Costos!$L$5:$L$88&gt;$A72))</f>
        <v>0</v>
      </c>
      <c r="J72" s="48" t="n">
        <f aca="false">SUMPRODUCT((Costos!$C$5:$C$88=J$4)*Costos!$E$5:$E$88*(Costos!$K$5:$K$88&lt;=$A72)*(Costos!$L$5:$L$88&gt;$A72))</f>
        <v>0</v>
      </c>
      <c r="K72" s="48" t="n">
        <f aca="false">SUMPRODUCT((Costos!$C$5:$C$88=K$4)*Costos!$E$5:$E$88*(Costos!$K$5:$K$88&lt;=$A72)*(Costos!$L$5:$L$88&gt;$A72))</f>
        <v>0</v>
      </c>
      <c r="L72" s="48" t="n">
        <f aca="false">SUMPRODUCT((Costos!$C$5:$C$88=L$4)*Costos!$E$5:$E$88*(Costos!$K$5:$K$88&lt;=$A72)*(Costos!$L$5:$L$88&gt;$A72))</f>
        <v>0</v>
      </c>
      <c r="M72" s="48" t="n">
        <f aca="false">SUMPRODUCT((Costos!$C$5:$C$88=M$4)*Costos!$E$5:$E$88*(Costos!$K$5:$K$88&lt;=$A72)*(Costos!$L$5:$L$88&gt;$A72))</f>
        <v>0</v>
      </c>
      <c r="N72" s="48" t="n">
        <f aca="false">SUMPRODUCT((Costos!$C$5:$C$88=N$4)*Costos!$E$5:$E$88*(Costos!$K$5:$K$88&lt;=$A72)*(Costos!$L$5:$L$88&gt;$A72))</f>
        <v>0</v>
      </c>
    </row>
    <row r="73" customFormat="false" ht="15" hidden="false" customHeight="false" outlineLevel="0" collapsed="false">
      <c r="A73" s="26" t="n">
        <v>68</v>
      </c>
      <c r="B73" s="47" t="n">
        <f aca="false">INDEX(Calendario!$B$3:$B$172,A73+1)</f>
        <v>46400</v>
      </c>
      <c r="C73" s="48" t="n">
        <f aca="false">SUMPRODUCT((Costos!$C$5:$C$88=C$4)*Costos!$E$5:$E$88*(Costos!$K$5:$K$88&lt;=$A73)*(Costos!$L$5:$L$88&gt;$A73))</f>
        <v>0.5</v>
      </c>
      <c r="D73" s="48" t="n">
        <f aca="false">SUMPRODUCT((Costos!$C$5:$C$88=D$4)*Costos!$E$5:$E$88*(Costos!$K$5:$K$88&lt;=$A73)*(Costos!$L$5:$L$88&gt;$A73))</f>
        <v>0</v>
      </c>
      <c r="E73" s="48" t="n">
        <f aca="false">SUMPRODUCT((Costos!$C$5:$C$88=E$4)*Costos!$E$5:$E$88*(Costos!$K$5:$K$88&lt;=$A73)*(Costos!$L$5:$L$88&gt;$A73))</f>
        <v>0.3</v>
      </c>
      <c r="F73" s="48" t="n">
        <f aca="false">SUMPRODUCT((Costos!$C$5:$C$88=F$4)*Costos!$E$5:$E$88*(Costos!$K$5:$K$88&lt;=$A73)*(Costos!$L$5:$L$88&gt;$A73))</f>
        <v>1</v>
      </c>
      <c r="G73" s="48" t="n">
        <f aca="false">SUMPRODUCT((Costos!$C$5:$C$88=G$4)*Costos!$E$5:$E$88*(Costos!$K$5:$K$88&lt;=$A73)*(Costos!$L$5:$L$88&gt;$A73))</f>
        <v>0.2</v>
      </c>
      <c r="H73" s="48" t="n">
        <f aca="false">SUMPRODUCT((Costos!$C$5:$C$88=H$4)*Costos!$E$5:$E$88*(Costos!$K$5:$K$88&lt;=$A73)*(Costos!$L$5:$L$88&gt;$A73))</f>
        <v>0</v>
      </c>
      <c r="I73" s="48" t="n">
        <f aca="false">SUMPRODUCT((Costos!$C$5:$C$88=I$4)*Costos!$E$5:$E$88*(Costos!$K$5:$K$88&lt;=$A73)*(Costos!$L$5:$L$88&gt;$A73))</f>
        <v>0</v>
      </c>
      <c r="J73" s="48" t="n">
        <f aca="false">SUMPRODUCT((Costos!$C$5:$C$88=J$4)*Costos!$E$5:$E$88*(Costos!$K$5:$K$88&lt;=$A73)*(Costos!$L$5:$L$88&gt;$A73))</f>
        <v>0</v>
      </c>
      <c r="K73" s="48" t="n">
        <f aca="false">SUMPRODUCT((Costos!$C$5:$C$88=K$4)*Costos!$E$5:$E$88*(Costos!$K$5:$K$88&lt;=$A73)*(Costos!$L$5:$L$88&gt;$A73))</f>
        <v>0</v>
      </c>
      <c r="L73" s="48" t="n">
        <f aca="false">SUMPRODUCT((Costos!$C$5:$C$88=L$4)*Costos!$E$5:$E$88*(Costos!$K$5:$K$88&lt;=$A73)*(Costos!$L$5:$L$88&gt;$A73))</f>
        <v>0</v>
      </c>
      <c r="M73" s="48" t="n">
        <f aca="false">SUMPRODUCT((Costos!$C$5:$C$88=M$4)*Costos!$E$5:$E$88*(Costos!$K$5:$K$88&lt;=$A73)*(Costos!$L$5:$L$88&gt;$A73))</f>
        <v>0</v>
      </c>
      <c r="N73" s="48" t="n">
        <f aca="false">SUMPRODUCT((Costos!$C$5:$C$88=N$4)*Costos!$E$5:$E$88*(Costos!$K$5:$K$88&lt;=$A73)*(Costos!$L$5:$L$88&gt;$A73))</f>
        <v>0</v>
      </c>
    </row>
    <row r="74" customFormat="false" ht="15" hidden="false" customHeight="false" outlineLevel="0" collapsed="false">
      <c r="A74" s="26" t="n">
        <v>69</v>
      </c>
      <c r="B74" s="47" t="n">
        <f aca="false">INDEX(Calendario!$B$3:$B$172,A74+1)</f>
        <v>46401</v>
      </c>
      <c r="C74" s="48" t="n">
        <f aca="false">SUMPRODUCT((Costos!$C$5:$C$88=C$4)*Costos!$E$5:$E$88*(Costos!$K$5:$K$88&lt;=$A74)*(Costos!$L$5:$L$88&gt;$A74))</f>
        <v>0.5</v>
      </c>
      <c r="D74" s="48" t="n">
        <f aca="false">SUMPRODUCT((Costos!$C$5:$C$88=D$4)*Costos!$E$5:$E$88*(Costos!$K$5:$K$88&lt;=$A74)*(Costos!$L$5:$L$88&gt;$A74))</f>
        <v>0</v>
      </c>
      <c r="E74" s="48" t="n">
        <f aca="false">SUMPRODUCT((Costos!$C$5:$C$88=E$4)*Costos!$E$5:$E$88*(Costos!$K$5:$K$88&lt;=$A74)*(Costos!$L$5:$L$88&gt;$A74))</f>
        <v>0.3</v>
      </c>
      <c r="F74" s="48" t="n">
        <f aca="false">SUMPRODUCT((Costos!$C$5:$C$88=F$4)*Costos!$E$5:$E$88*(Costos!$K$5:$K$88&lt;=$A74)*(Costos!$L$5:$L$88&gt;$A74))</f>
        <v>1</v>
      </c>
      <c r="G74" s="48" t="n">
        <f aca="false">SUMPRODUCT((Costos!$C$5:$C$88=G$4)*Costos!$E$5:$E$88*(Costos!$K$5:$K$88&lt;=$A74)*(Costos!$L$5:$L$88&gt;$A74))</f>
        <v>0.2</v>
      </c>
      <c r="H74" s="48" t="n">
        <f aca="false">SUMPRODUCT((Costos!$C$5:$C$88=H$4)*Costos!$E$5:$E$88*(Costos!$K$5:$K$88&lt;=$A74)*(Costos!$L$5:$L$88&gt;$A74))</f>
        <v>0</v>
      </c>
      <c r="I74" s="48" t="n">
        <f aca="false">SUMPRODUCT((Costos!$C$5:$C$88=I$4)*Costos!$E$5:$E$88*(Costos!$K$5:$K$88&lt;=$A74)*(Costos!$L$5:$L$88&gt;$A74))</f>
        <v>0</v>
      </c>
      <c r="J74" s="48" t="n">
        <f aca="false">SUMPRODUCT((Costos!$C$5:$C$88=J$4)*Costos!$E$5:$E$88*(Costos!$K$5:$K$88&lt;=$A74)*(Costos!$L$5:$L$88&gt;$A74))</f>
        <v>0</v>
      </c>
      <c r="K74" s="48" t="n">
        <f aca="false">SUMPRODUCT((Costos!$C$5:$C$88=K$4)*Costos!$E$5:$E$88*(Costos!$K$5:$K$88&lt;=$A74)*(Costos!$L$5:$L$88&gt;$A74))</f>
        <v>0</v>
      </c>
      <c r="L74" s="48" t="n">
        <f aca="false">SUMPRODUCT((Costos!$C$5:$C$88=L$4)*Costos!$E$5:$E$88*(Costos!$K$5:$K$88&lt;=$A74)*(Costos!$L$5:$L$88&gt;$A74))</f>
        <v>0</v>
      </c>
      <c r="M74" s="48" t="n">
        <f aca="false">SUMPRODUCT((Costos!$C$5:$C$88=M$4)*Costos!$E$5:$E$88*(Costos!$K$5:$K$88&lt;=$A74)*(Costos!$L$5:$L$88&gt;$A74))</f>
        <v>0</v>
      </c>
      <c r="N74" s="48" t="n">
        <f aca="false">SUMPRODUCT((Costos!$C$5:$C$88=N$4)*Costos!$E$5:$E$88*(Costos!$K$5:$K$88&lt;=$A74)*(Costos!$L$5:$L$88&gt;$A74))</f>
        <v>0</v>
      </c>
    </row>
    <row r="75" customFormat="false" ht="15" hidden="false" customHeight="false" outlineLevel="0" collapsed="false">
      <c r="A75" s="26" t="n">
        <v>70</v>
      </c>
      <c r="B75" s="47" t="n">
        <f aca="false">INDEX(Calendario!$B$3:$B$172,A75+1)</f>
        <v>46402</v>
      </c>
      <c r="C75" s="48" t="n">
        <f aca="false">SUMPRODUCT((Costos!$C$5:$C$88=C$4)*Costos!$E$5:$E$88*(Costos!$K$5:$K$88&lt;=$A75)*(Costos!$L$5:$L$88&gt;$A75))</f>
        <v>0.5</v>
      </c>
      <c r="D75" s="48" t="n">
        <f aca="false">SUMPRODUCT((Costos!$C$5:$C$88=D$4)*Costos!$E$5:$E$88*(Costos!$K$5:$K$88&lt;=$A75)*(Costos!$L$5:$L$88&gt;$A75))</f>
        <v>0</v>
      </c>
      <c r="E75" s="48" t="n">
        <f aca="false">SUMPRODUCT((Costos!$C$5:$C$88=E$4)*Costos!$E$5:$E$88*(Costos!$K$5:$K$88&lt;=$A75)*(Costos!$L$5:$L$88&gt;$A75))</f>
        <v>0</v>
      </c>
      <c r="F75" s="48" t="n">
        <f aca="false">SUMPRODUCT((Costos!$C$5:$C$88=F$4)*Costos!$E$5:$E$88*(Costos!$K$5:$K$88&lt;=$A75)*(Costos!$L$5:$L$88&gt;$A75))</f>
        <v>0</v>
      </c>
      <c r="G75" s="48" t="n">
        <f aca="false">SUMPRODUCT((Costos!$C$5:$C$88=G$4)*Costos!$E$5:$E$88*(Costos!$K$5:$K$88&lt;=$A75)*(Costos!$L$5:$L$88&gt;$A75))</f>
        <v>0</v>
      </c>
      <c r="H75" s="48" t="n">
        <f aca="false">SUMPRODUCT((Costos!$C$5:$C$88=H$4)*Costos!$E$5:$E$88*(Costos!$K$5:$K$88&lt;=$A75)*(Costos!$L$5:$L$88&gt;$A75))</f>
        <v>0</v>
      </c>
      <c r="I75" s="48" t="n">
        <f aca="false">SUMPRODUCT((Costos!$C$5:$C$88=I$4)*Costos!$E$5:$E$88*(Costos!$K$5:$K$88&lt;=$A75)*(Costos!$L$5:$L$88&gt;$A75))</f>
        <v>0</v>
      </c>
      <c r="J75" s="48" t="n">
        <f aca="false">SUMPRODUCT((Costos!$C$5:$C$88=J$4)*Costos!$E$5:$E$88*(Costos!$K$5:$K$88&lt;=$A75)*(Costos!$L$5:$L$88&gt;$A75))</f>
        <v>0</v>
      </c>
      <c r="K75" s="48" t="n">
        <f aca="false">SUMPRODUCT((Costos!$C$5:$C$88=K$4)*Costos!$E$5:$E$88*(Costos!$K$5:$K$88&lt;=$A75)*(Costos!$L$5:$L$88&gt;$A75))</f>
        <v>0</v>
      </c>
      <c r="L75" s="48" t="n">
        <f aca="false">SUMPRODUCT((Costos!$C$5:$C$88=L$4)*Costos!$E$5:$E$88*(Costos!$K$5:$K$88&lt;=$A75)*(Costos!$L$5:$L$88&gt;$A75))</f>
        <v>0</v>
      </c>
      <c r="M75" s="48" t="n">
        <f aca="false">SUMPRODUCT((Costos!$C$5:$C$88=M$4)*Costos!$E$5:$E$88*(Costos!$K$5:$K$88&lt;=$A75)*(Costos!$L$5:$L$88&gt;$A75))</f>
        <v>0</v>
      </c>
      <c r="N75" s="48" t="n">
        <f aca="false">SUMPRODUCT((Costos!$C$5:$C$88=N$4)*Costos!$E$5:$E$88*(Costos!$K$5:$K$88&lt;=$A75)*(Costos!$L$5:$L$88&gt;$A75))</f>
        <v>0</v>
      </c>
    </row>
    <row r="76" customFormat="false" ht="15" hidden="false" customHeight="false" outlineLevel="0" collapsed="false">
      <c r="A76" s="26" t="n">
        <v>71</v>
      </c>
      <c r="B76" s="47" t="n">
        <f aca="false">INDEX(Calendario!$B$3:$B$172,A76+1)</f>
        <v>46405</v>
      </c>
      <c r="C76" s="48" t="n">
        <f aca="false">SUMPRODUCT((Costos!$C$5:$C$88=C$4)*Costos!$E$5:$E$88*(Costos!$K$5:$K$88&lt;=$A76)*(Costos!$L$5:$L$88&gt;$A76))</f>
        <v>0.5</v>
      </c>
      <c r="D76" s="48" t="n">
        <f aca="false">SUMPRODUCT((Costos!$C$5:$C$88=D$4)*Costos!$E$5:$E$88*(Costos!$K$5:$K$88&lt;=$A76)*(Costos!$L$5:$L$88&gt;$A76))</f>
        <v>0</v>
      </c>
      <c r="E76" s="48" t="n">
        <f aca="false">SUMPRODUCT((Costos!$C$5:$C$88=E$4)*Costos!$E$5:$E$88*(Costos!$K$5:$K$88&lt;=$A76)*(Costos!$L$5:$L$88&gt;$A76))</f>
        <v>0</v>
      </c>
      <c r="F76" s="48" t="n">
        <f aca="false">SUMPRODUCT((Costos!$C$5:$C$88=F$4)*Costos!$E$5:$E$88*(Costos!$K$5:$K$88&lt;=$A76)*(Costos!$L$5:$L$88&gt;$A76))</f>
        <v>0</v>
      </c>
      <c r="G76" s="48" t="n">
        <f aca="false">SUMPRODUCT((Costos!$C$5:$C$88=G$4)*Costos!$E$5:$E$88*(Costos!$K$5:$K$88&lt;=$A76)*(Costos!$L$5:$L$88&gt;$A76))</f>
        <v>0</v>
      </c>
      <c r="H76" s="48" t="n">
        <f aca="false">SUMPRODUCT((Costos!$C$5:$C$88=H$4)*Costos!$E$5:$E$88*(Costos!$K$5:$K$88&lt;=$A76)*(Costos!$L$5:$L$88&gt;$A76))</f>
        <v>0</v>
      </c>
      <c r="I76" s="48" t="n">
        <f aca="false">SUMPRODUCT((Costos!$C$5:$C$88=I$4)*Costos!$E$5:$E$88*(Costos!$K$5:$K$88&lt;=$A76)*(Costos!$L$5:$L$88&gt;$A76))</f>
        <v>0</v>
      </c>
      <c r="J76" s="48" t="n">
        <f aca="false">SUMPRODUCT((Costos!$C$5:$C$88=J$4)*Costos!$E$5:$E$88*(Costos!$K$5:$K$88&lt;=$A76)*(Costos!$L$5:$L$88&gt;$A76))</f>
        <v>0</v>
      </c>
      <c r="K76" s="48" t="n">
        <f aca="false">SUMPRODUCT((Costos!$C$5:$C$88=K$4)*Costos!$E$5:$E$88*(Costos!$K$5:$K$88&lt;=$A76)*(Costos!$L$5:$L$88&gt;$A76))</f>
        <v>0</v>
      </c>
      <c r="L76" s="48" t="n">
        <f aca="false">SUMPRODUCT((Costos!$C$5:$C$88=L$4)*Costos!$E$5:$E$88*(Costos!$K$5:$K$88&lt;=$A76)*(Costos!$L$5:$L$88&gt;$A76))</f>
        <v>0</v>
      </c>
      <c r="M76" s="48" t="n">
        <f aca="false">SUMPRODUCT((Costos!$C$5:$C$88=M$4)*Costos!$E$5:$E$88*(Costos!$K$5:$K$88&lt;=$A76)*(Costos!$L$5:$L$88&gt;$A76))</f>
        <v>0</v>
      </c>
      <c r="N76" s="48" t="n">
        <f aca="false">SUMPRODUCT((Costos!$C$5:$C$88=N$4)*Costos!$E$5:$E$88*(Costos!$K$5:$K$88&lt;=$A76)*(Costos!$L$5:$L$88&gt;$A76))</f>
        <v>0</v>
      </c>
    </row>
    <row r="77" customFormat="false" ht="15" hidden="false" customHeight="false" outlineLevel="0" collapsed="false">
      <c r="A77" s="26" t="n">
        <v>72</v>
      </c>
      <c r="B77" s="47" t="n">
        <f aca="false">INDEX(Calendario!$B$3:$B$172,A77+1)</f>
        <v>46406</v>
      </c>
      <c r="C77" s="48" t="n">
        <f aca="false">SUMPRODUCT((Costos!$C$5:$C$88=C$4)*Costos!$E$5:$E$88*(Costos!$K$5:$K$88&lt;=$A77)*(Costos!$L$5:$L$88&gt;$A77))</f>
        <v>0.5</v>
      </c>
      <c r="D77" s="48" t="n">
        <f aca="false">SUMPRODUCT((Costos!$C$5:$C$88=D$4)*Costos!$E$5:$E$88*(Costos!$K$5:$K$88&lt;=$A77)*(Costos!$L$5:$L$88&gt;$A77))</f>
        <v>0</v>
      </c>
      <c r="E77" s="48" t="n">
        <f aca="false">SUMPRODUCT((Costos!$C$5:$C$88=E$4)*Costos!$E$5:$E$88*(Costos!$K$5:$K$88&lt;=$A77)*(Costos!$L$5:$L$88&gt;$A77))</f>
        <v>0</v>
      </c>
      <c r="F77" s="48" t="n">
        <f aca="false">SUMPRODUCT((Costos!$C$5:$C$88=F$4)*Costos!$E$5:$E$88*(Costos!$K$5:$K$88&lt;=$A77)*(Costos!$L$5:$L$88&gt;$A77))</f>
        <v>0</v>
      </c>
      <c r="G77" s="48" t="n">
        <f aca="false">SUMPRODUCT((Costos!$C$5:$C$88=G$4)*Costos!$E$5:$E$88*(Costos!$K$5:$K$88&lt;=$A77)*(Costos!$L$5:$L$88&gt;$A77))</f>
        <v>0</v>
      </c>
      <c r="H77" s="48" t="n">
        <f aca="false">SUMPRODUCT((Costos!$C$5:$C$88=H$4)*Costos!$E$5:$E$88*(Costos!$K$5:$K$88&lt;=$A77)*(Costos!$L$5:$L$88&gt;$A77))</f>
        <v>0</v>
      </c>
      <c r="I77" s="48" t="n">
        <f aca="false">SUMPRODUCT((Costos!$C$5:$C$88=I$4)*Costos!$E$5:$E$88*(Costos!$K$5:$K$88&lt;=$A77)*(Costos!$L$5:$L$88&gt;$A77))</f>
        <v>0</v>
      </c>
      <c r="J77" s="48" t="n">
        <f aca="false">SUMPRODUCT((Costos!$C$5:$C$88=J$4)*Costos!$E$5:$E$88*(Costos!$K$5:$K$88&lt;=$A77)*(Costos!$L$5:$L$88&gt;$A77))</f>
        <v>0</v>
      </c>
      <c r="K77" s="48" t="n">
        <f aca="false">SUMPRODUCT((Costos!$C$5:$C$88=K$4)*Costos!$E$5:$E$88*(Costos!$K$5:$K$88&lt;=$A77)*(Costos!$L$5:$L$88&gt;$A77))</f>
        <v>0</v>
      </c>
      <c r="L77" s="48" t="n">
        <f aca="false">SUMPRODUCT((Costos!$C$5:$C$88=L$4)*Costos!$E$5:$E$88*(Costos!$K$5:$K$88&lt;=$A77)*(Costos!$L$5:$L$88&gt;$A77))</f>
        <v>0</v>
      </c>
      <c r="M77" s="48" t="n">
        <f aca="false">SUMPRODUCT((Costos!$C$5:$C$88=M$4)*Costos!$E$5:$E$88*(Costos!$K$5:$K$88&lt;=$A77)*(Costos!$L$5:$L$88&gt;$A77))</f>
        <v>0</v>
      </c>
      <c r="N77" s="48" t="n">
        <f aca="false">SUMPRODUCT((Costos!$C$5:$C$88=N$4)*Costos!$E$5:$E$88*(Costos!$K$5:$K$88&lt;=$A77)*(Costos!$L$5:$L$88&gt;$A77))</f>
        <v>0</v>
      </c>
    </row>
    <row r="78" customFormat="false" ht="15" hidden="false" customHeight="false" outlineLevel="0" collapsed="false">
      <c r="A78" s="26" t="n">
        <v>73</v>
      </c>
      <c r="B78" s="47" t="n">
        <f aca="false">INDEX(Calendario!$B$3:$B$172,A78+1)</f>
        <v>46407</v>
      </c>
      <c r="C78" s="48" t="n">
        <f aca="false">SUMPRODUCT((Costos!$C$5:$C$88=C$4)*Costos!$E$5:$E$88*(Costos!$K$5:$K$88&lt;=$A78)*(Costos!$L$5:$L$88&gt;$A78))</f>
        <v>0.5</v>
      </c>
      <c r="D78" s="48" t="n">
        <f aca="false">SUMPRODUCT((Costos!$C$5:$C$88=D$4)*Costos!$E$5:$E$88*(Costos!$K$5:$K$88&lt;=$A78)*(Costos!$L$5:$L$88&gt;$A78))</f>
        <v>0</v>
      </c>
      <c r="E78" s="48" t="n">
        <f aca="false">SUMPRODUCT((Costos!$C$5:$C$88=E$4)*Costos!$E$5:$E$88*(Costos!$K$5:$K$88&lt;=$A78)*(Costos!$L$5:$L$88&gt;$A78))</f>
        <v>0</v>
      </c>
      <c r="F78" s="48" t="n">
        <f aca="false">SUMPRODUCT((Costos!$C$5:$C$88=F$4)*Costos!$E$5:$E$88*(Costos!$K$5:$K$88&lt;=$A78)*(Costos!$L$5:$L$88&gt;$A78))</f>
        <v>0</v>
      </c>
      <c r="G78" s="48" t="n">
        <f aca="false">SUMPRODUCT((Costos!$C$5:$C$88=G$4)*Costos!$E$5:$E$88*(Costos!$K$5:$K$88&lt;=$A78)*(Costos!$L$5:$L$88&gt;$A78))</f>
        <v>0</v>
      </c>
      <c r="H78" s="48" t="n">
        <f aca="false">SUMPRODUCT((Costos!$C$5:$C$88=H$4)*Costos!$E$5:$E$88*(Costos!$K$5:$K$88&lt;=$A78)*(Costos!$L$5:$L$88&gt;$A78))</f>
        <v>0</v>
      </c>
      <c r="I78" s="48" t="n">
        <f aca="false">SUMPRODUCT((Costos!$C$5:$C$88=I$4)*Costos!$E$5:$E$88*(Costos!$K$5:$K$88&lt;=$A78)*(Costos!$L$5:$L$88&gt;$A78))</f>
        <v>0</v>
      </c>
      <c r="J78" s="48" t="n">
        <f aca="false">SUMPRODUCT((Costos!$C$5:$C$88=J$4)*Costos!$E$5:$E$88*(Costos!$K$5:$K$88&lt;=$A78)*(Costos!$L$5:$L$88&gt;$A78))</f>
        <v>0</v>
      </c>
      <c r="K78" s="48" t="n">
        <f aca="false">SUMPRODUCT((Costos!$C$5:$C$88=K$4)*Costos!$E$5:$E$88*(Costos!$K$5:$K$88&lt;=$A78)*(Costos!$L$5:$L$88&gt;$A78))</f>
        <v>0</v>
      </c>
      <c r="L78" s="48" t="n">
        <f aca="false">SUMPRODUCT((Costos!$C$5:$C$88=L$4)*Costos!$E$5:$E$88*(Costos!$K$5:$K$88&lt;=$A78)*(Costos!$L$5:$L$88&gt;$A78))</f>
        <v>0</v>
      </c>
      <c r="M78" s="48" t="n">
        <f aca="false">SUMPRODUCT((Costos!$C$5:$C$88=M$4)*Costos!$E$5:$E$88*(Costos!$K$5:$K$88&lt;=$A78)*(Costos!$L$5:$L$88&gt;$A78))</f>
        <v>0</v>
      </c>
      <c r="N78" s="48" t="n">
        <f aca="false">SUMPRODUCT((Costos!$C$5:$C$88=N$4)*Costos!$E$5:$E$88*(Costos!$K$5:$K$88&lt;=$A78)*(Costos!$L$5:$L$88&gt;$A78))</f>
        <v>0</v>
      </c>
    </row>
    <row r="79" customFormat="false" ht="15" hidden="false" customHeight="false" outlineLevel="0" collapsed="false">
      <c r="A79" s="26" t="n">
        <v>74</v>
      </c>
      <c r="B79" s="47" t="n">
        <f aca="false">INDEX(Calendario!$B$3:$B$172,A79+1)</f>
        <v>46408</v>
      </c>
      <c r="C79" s="48" t="n">
        <f aca="false">SUMPRODUCT((Costos!$C$5:$C$88=C$4)*Costos!$E$5:$E$88*(Costos!$K$5:$K$88&lt;=$A79)*(Costos!$L$5:$L$88&gt;$A79))</f>
        <v>0.5</v>
      </c>
      <c r="D79" s="48" t="n">
        <f aca="false">SUMPRODUCT((Costos!$C$5:$C$88=D$4)*Costos!$E$5:$E$88*(Costos!$K$5:$K$88&lt;=$A79)*(Costos!$L$5:$L$88&gt;$A79))</f>
        <v>0</v>
      </c>
      <c r="E79" s="48" t="n">
        <f aca="false">SUMPRODUCT((Costos!$C$5:$C$88=E$4)*Costos!$E$5:$E$88*(Costos!$K$5:$K$88&lt;=$A79)*(Costos!$L$5:$L$88&gt;$A79))</f>
        <v>0</v>
      </c>
      <c r="F79" s="48" t="n">
        <f aca="false">SUMPRODUCT((Costos!$C$5:$C$88=F$4)*Costos!$E$5:$E$88*(Costos!$K$5:$K$88&lt;=$A79)*(Costos!$L$5:$L$88&gt;$A79))</f>
        <v>0</v>
      </c>
      <c r="G79" s="48" t="n">
        <f aca="false">SUMPRODUCT((Costos!$C$5:$C$88=G$4)*Costos!$E$5:$E$88*(Costos!$K$5:$K$88&lt;=$A79)*(Costos!$L$5:$L$88&gt;$A79))</f>
        <v>0</v>
      </c>
      <c r="H79" s="48" t="n">
        <f aca="false">SUMPRODUCT((Costos!$C$5:$C$88=H$4)*Costos!$E$5:$E$88*(Costos!$K$5:$K$88&lt;=$A79)*(Costos!$L$5:$L$88&gt;$A79))</f>
        <v>0</v>
      </c>
      <c r="I79" s="48" t="n">
        <f aca="false">SUMPRODUCT((Costos!$C$5:$C$88=I$4)*Costos!$E$5:$E$88*(Costos!$K$5:$K$88&lt;=$A79)*(Costos!$L$5:$L$88&gt;$A79))</f>
        <v>0</v>
      </c>
      <c r="J79" s="48" t="n">
        <f aca="false">SUMPRODUCT((Costos!$C$5:$C$88=J$4)*Costos!$E$5:$E$88*(Costos!$K$5:$K$88&lt;=$A79)*(Costos!$L$5:$L$88&gt;$A79))</f>
        <v>0</v>
      </c>
      <c r="K79" s="48" t="n">
        <f aca="false">SUMPRODUCT((Costos!$C$5:$C$88=K$4)*Costos!$E$5:$E$88*(Costos!$K$5:$K$88&lt;=$A79)*(Costos!$L$5:$L$88&gt;$A79))</f>
        <v>0</v>
      </c>
      <c r="L79" s="48" t="n">
        <f aca="false">SUMPRODUCT((Costos!$C$5:$C$88=L$4)*Costos!$E$5:$E$88*(Costos!$K$5:$K$88&lt;=$A79)*(Costos!$L$5:$L$88&gt;$A79))</f>
        <v>0</v>
      </c>
      <c r="M79" s="48" t="n">
        <f aca="false">SUMPRODUCT((Costos!$C$5:$C$88=M$4)*Costos!$E$5:$E$88*(Costos!$K$5:$K$88&lt;=$A79)*(Costos!$L$5:$L$88&gt;$A79))</f>
        <v>0</v>
      </c>
      <c r="N79" s="48" t="n">
        <f aca="false">SUMPRODUCT((Costos!$C$5:$C$88=N$4)*Costos!$E$5:$E$88*(Costos!$K$5:$K$88&lt;=$A79)*(Costos!$L$5:$L$88&gt;$A79))</f>
        <v>0</v>
      </c>
    </row>
    <row r="80" customFormat="false" ht="15" hidden="false" customHeight="false" outlineLevel="0" collapsed="false">
      <c r="A80" s="26" t="n">
        <v>75</v>
      </c>
      <c r="B80" s="47" t="n">
        <f aca="false">INDEX(Calendario!$B$3:$B$172,A80+1)</f>
        <v>46409</v>
      </c>
      <c r="C80" s="48" t="n">
        <f aca="false">SUMPRODUCT((Costos!$C$5:$C$88=C$4)*Costos!$E$5:$E$88*(Costos!$K$5:$K$88&lt;=$A80)*(Costos!$L$5:$L$88&gt;$A80))</f>
        <v>0.5</v>
      </c>
      <c r="D80" s="48" t="n">
        <f aca="false">SUMPRODUCT((Costos!$C$5:$C$88=D$4)*Costos!$E$5:$E$88*(Costos!$K$5:$K$88&lt;=$A80)*(Costos!$L$5:$L$88&gt;$A80))</f>
        <v>0</v>
      </c>
      <c r="E80" s="48" t="n">
        <f aca="false">SUMPRODUCT((Costos!$C$5:$C$88=E$4)*Costos!$E$5:$E$88*(Costos!$K$5:$K$88&lt;=$A80)*(Costos!$L$5:$L$88&gt;$A80))</f>
        <v>0</v>
      </c>
      <c r="F80" s="48" t="n">
        <f aca="false">SUMPRODUCT((Costos!$C$5:$C$88=F$4)*Costos!$E$5:$E$88*(Costos!$K$5:$K$88&lt;=$A80)*(Costos!$L$5:$L$88&gt;$A80))</f>
        <v>0</v>
      </c>
      <c r="G80" s="48" t="n">
        <f aca="false">SUMPRODUCT((Costos!$C$5:$C$88=G$4)*Costos!$E$5:$E$88*(Costos!$K$5:$K$88&lt;=$A80)*(Costos!$L$5:$L$88&gt;$A80))</f>
        <v>0</v>
      </c>
      <c r="H80" s="48" t="n">
        <f aca="false">SUMPRODUCT((Costos!$C$5:$C$88=H$4)*Costos!$E$5:$E$88*(Costos!$K$5:$K$88&lt;=$A80)*(Costos!$L$5:$L$88&gt;$A80))</f>
        <v>0</v>
      </c>
      <c r="I80" s="48" t="n">
        <f aca="false">SUMPRODUCT((Costos!$C$5:$C$88=I$4)*Costos!$E$5:$E$88*(Costos!$K$5:$K$88&lt;=$A80)*(Costos!$L$5:$L$88&gt;$A80))</f>
        <v>0</v>
      </c>
      <c r="J80" s="48" t="n">
        <f aca="false">SUMPRODUCT((Costos!$C$5:$C$88=J$4)*Costos!$E$5:$E$88*(Costos!$K$5:$K$88&lt;=$A80)*(Costos!$L$5:$L$88&gt;$A80))</f>
        <v>0</v>
      </c>
      <c r="K80" s="48" t="n">
        <f aca="false">SUMPRODUCT((Costos!$C$5:$C$88=K$4)*Costos!$E$5:$E$88*(Costos!$K$5:$K$88&lt;=$A80)*(Costos!$L$5:$L$88&gt;$A80))</f>
        <v>0</v>
      </c>
      <c r="L80" s="48" t="n">
        <f aca="false">SUMPRODUCT((Costos!$C$5:$C$88=L$4)*Costos!$E$5:$E$88*(Costos!$K$5:$K$88&lt;=$A80)*(Costos!$L$5:$L$88&gt;$A80))</f>
        <v>0</v>
      </c>
      <c r="M80" s="48" t="n">
        <f aca="false">SUMPRODUCT((Costos!$C$5:$C$88=M$4)*Costos!$E$5:$E$88*(Costos!$K$5:$K$88&lt;=$A80)*(Costos!$L$5:$L$88&gt;$A80))</f>
        <v>0</v>
      </c>
      <c r="N80" s="48" t="n">
        <f aca="false">SUMPRODUCT((Costos!$C$5:$C$88=N$4)*Costos!$E$5:$E$88*(Costos!$K$5:$K$88&lt;=$A80)*(Costos!$L$5:$L$88&gt;$A80))</f>
        <v>0</v>
      </c>
    </row>
    <row r="81" customFormat="false" ht="15" hidden="false" customHeight="false" outlineLevel="0" collapsed="false">
      <c r="A81" s="26" t="n">
        <v>76</v>
      </c>
      <c r="B81" s="47" t="n">
        <f aca="false">INDEX(Calendario!$B$3:$B$172,A81+1)</f>
        <v>46412</v>
      </c>
      <c r="C81" s="48" t="n">
        <f aca="false">SUMPRODUCT((Costos!$C$5:$C$88=C$4)*Costos!$E$5:$E$88*(Costos!$K$5:$K$88&lt;=$A81)*(Costos!$L$5:$L$88&gt;$A81))</f>
        <v>0.5</v>
      </c>
      <c r="D81" s="48" t="n">
        <f aca="false">SUMPRODUCT((Costos!$C$5:$C$88=D$4)*Costos!$E$5:$E$88*(Costos!$K$5:$K$88&lt;=$A81)*(Costos!$L$5:$L$88&gt;$A81))</f>
        <v>0</v>
      </c>
      <c r="E81" s="48" t="n">
        <f aca="false">SUMPRODUCT((Costos!$C$5:$C$88=E$4)*Costos!$E$5:$E$88*(Costos!$K$5:$K$88&lt;=$A81)*(Costos!$L$5:$L$88&gt;$A81))</f>
        <v>0</v>
      </c>
      <c r="F81" s="48" t="n">
        <f aca="false">SUMPRODUCT((Costos!$C$5:$C$88=F$4)*Costos!$E$5:$E$88*(Costos!$K$5:$K$88&lt;=$A81)*(Costos!$L$5:$L$88&gt;$A81))</f>
        <v>0</v>
      </c>
      <c r="G81" s="48" t="n">
        <f aca="false">SUMPRODUCT((Costos!$C$5:$C$88=G$4)*Costos!$E$5:$E$88*(Costos!$K$5:$K$88&lt;=$A81)*(Costos!$L$5:$L$88&gt;$A81))</f>
        <v>0</v>
      </c>
      <c r="H81" s="48" t="n">
        <f aca="false">SUMPRODUCT((Costos!$C$5:$C$88=H$4)*Costos!$E$5:$E$88*(Costos!$K$5:$K$88&lt;=$A81)*(Costos!$L$5:$L$88&gt;$A81))</f>
        <v>0</v>
      </c>
      <c r="I81" s="48" t="n">
        <f aca="false">SUMPRODUCT((Costos!$C$5:$C$88=I$4)*Costos!$E$5:$E$88*(Costos!$K$5:$K$88&lt;=$A81)*(Costos!$L$5:$L$88&gt;$A81))</f>
        <v>0</v>
      </c>
      <c r="J81" s="48" t="n">
        <f aca="false">SUMPRODUCT((Costos!$C$5:$C$88=J$4)*Costos!$E$5:$E$88*(Costos!$K$5:$K$88&lt;=$A81)*(Costos!$L$5:$L$88&gt;$A81))</f>
        <v>0</v>
      </c>
      <c r="K81" s="48" t="n">
        <f aca="false">SUMPRODUCT((Costos!$C$5:$C$88=K$4)*Costos!$E$5:$E$88*(Costos!$K$5:$K$88&lt;=$A81)*(Costos!$L$5:$L$88&gt;$A81))</f>
        <v>0</v>
      </c>
      <c r="L81" s="48" t="n">
        <f aca="false">SUMPRODUCT((Costos!$C$5:$C$88=L$4)*Costos!$E$5:$E$88*(Costos!$K$5:$K$88&lt;=$A81)*(Costos!$L$5:$L$88&gt;$A81))</f>
        <v>0</v>
      </c>
      <c r="M81" s="48" t="n">
        <f aca="false">SUMPRODUCT((Costos!$C$5:$C$88=M$4)*Costos!$E$5:$E$88*(Costos!$K$5:$K$88&lt;=$A81)*(Costos!$L$5:$L$88&gt;$A81))</f>
        <v>0</v>
      </c>
      <c r="N81" s="48" t="n">
        <f aca="false">SUMPRODUCT((Costos!$C$5:$C$88=N$4)*Costos!$E$5:$E$88*(Costos!$K$5:$K$88&lt;=$A81)*(Costos!$L$5:$L$88&gt;$A81))</f>
        <v>0</v>
      </c>
    </row>
    <row r="82" customFormat="false" ht="15" hidden="false" customHeight="false" outlineLevel="0" collapsed="false">
      <c r="A82" s="26" t="n">
        <v>77</v>
      </c>
      <c r="B82" s="47" t="n">
        <f aca="false">INDEX(Calendario!$B$3:$B$172,A82+1)</f>
        <v>46413</v>
      </c>
      <c r="C82" s="48" t="n">
        <f aca="false">SUMPRODUCT((Costos!$C$5:$C$88=C$4)*Costos!$E$5:$E$88*(Costos!$K$5:$K$88&lt;=$A82)*(Costos!$L$5:$L$88&gt;$A82))</f>
        <v>0.5</v>
      </c>
      <c r="D82" s="48" t="n">
        <f aca="false">SUMPRODUCT((Costos!$C$5:$C$88=D$4)*Costos!$E$5:$E$88*(Costos!$K$5:$K$88&lt;=$A82)*(Costos!$L$5:$L$88&gt;$A82))</f>
        <v>0</v>
      </c>
      <c r="E82" s="48" t="n">
        <f aca="false">SUMPRODUCT((Costos!$C$5:$C$88=E$4)*Costos!$E$5:$E$88*(Costos!$K$5:$K$88&lt;=$A82)*(Costos!$L$5:$L$88&gt;$A82))</f>
        <v>0</v>
      </c>
      <c r="F82" s="48" t="n">
        <f aca="false">SUMPRODUCT((Costos!$C$5:$C$88=F$4)*Costos!$E$5:$E$88*(Costos!$K$5:$K$88&lt;=$A82)*(Costos!$L$5:$L$88&gt;$A82))</f>
        <v>0</v>
      </c>
      <c r="G82" s="48" t="n">
        <f aca="false">SUMPRODUCT((Costos!$C$5:$C$88=G$4)*Costos!$E$5:$E$88*(Costos!$K$5:$K$88&lt;=$A82)*(Costos!$L$5:$L$88&gt;$A82))</f>
        <v>0</v>
      </c>
      <c r="H82" s="48" t="n">
        <f aca="false">SUMPRODUCT((Costos!$C$5:$C$88=H$4)*Costos!$E$5:$E$88*(Costos!$K$5:$K$88&lt;=$A82)*(Costos!$L$5:$L$88&gt;$A82))</f>
        <v>0</v>
      </c>
      <c r="I82" s="48" t="n">
        <f aca="false">SUMPRODUCT((Costos!$C$5:$C$88=I$4)*Costos!$E$5:$E$88*(Costos!$K$5:$K$88&lt;=$A82)*(Costos!$L$5:$L$88&gt;$A82))</f>
        <v>0</v>
      </c>
      <c r="J82" s="48" t="n">
        <f aca="false">SUMPRODUCT((Costos!$C$5:$C$88=J$4)*Costos!$E$5:$E$88*(Costos!$K$5:$K$88&lt;=$A82)*(Costos!$L$5:$L$88&gt;$A82))</f>
        <v>0</v>
      </c>
      <c r="K82" s="48" t="n">
        <f aca="false">SUMPRODUCT((Costos!$C$5:$C$88=K$4)*Costos!$E$5:$E$88*(Costos!$K$5:$K$88&lt;=$A82)*(Costos!$L$5:$L$88&gt;$A82))</f>
        <v>0</v>
      </c>
      <c r="L82" s="48" t="n">
        <f aca="false">SUMPRODUCT((Costos!$C$5:$C$88=L$4)*Costos!$E$5:$E$88*(Costos!$K$5:$K$88&lt;=$A82)*(Costos!$L$5:$L$88&gt;$A82))</f>
        <v>0</v>
      </c>
      <c r="M82" s="48" t="n">
        <f aca="false">SUMPRODUCT((Costos!$C$5:$C$88=M$4)*Costos!$E$5:$E$88*(Costos!$K$5:$K$88&lt;=$A82)*(Costos!$L$5:$L$88&gt;$A82))</f>
        <v>0</v>
      </c>
      <c r="N82" s="48" t="n">
        <f aca="false">SUMPRODUCT((Costos!$C$5:$C$88=N$4)*Costos!$E$5:$E$88*(Costos!$K$5:$K$88&lt;=$A82)*(Costos!$L$5:$L$88&gt;$A82))</f>
        <v>0</v>
      </c>
    </row>
    <row r="83" customFormat="false" ht="15" hidden="false" customHeight="false" outlineLevel="0" collapsed="false">
      <c r="A83" s="26" t="n">
        <v>78</v>
      </c>
      <c r="B83" s="47" t="n">
        <f aca="false">INDEX(Calendario!$B$3:$B$172,A83+1)</f>
        <v>46414</v>
      </c>
      <c r="C83" s="48" t="n">
        <f aca="false">SUMPRODUCT((Costos!$C$5:$C$88=C$4)*Costos!$E$5:$E$88*(Costos!$K$5:$K$88&lt;=$A83)*(Costos!$L$5:$L$88&gt;$A83))</f>
        <v>0.5</v>
      </c>
      <c r="D83" s="48" t="n">
        <f aca="false">SUMPRODUCT((Costos!$C$5:$C$88=D$4)*Costos!$E$5:$E$88*(Costos!$K$5:$K$88&lt;=$A83)*(Costos!$L$5:$L$88&gt;$A83))</f>
        <v>0</v>
      </c>
      <c r="E83" s="48" t="n">
        <f aca="false">SUMPRODUCT((Costos!$C$5:$C$88=E$4)*Costos!$E$5:$E$88*(Costos!$K$5:$K$88&lt;=$A83)*(Costos!$L$5:$L$88&gt;$A83))</f>
        <v>0</v>
      </c>
      <c r="F83" s="48" t="n">
        <f aca="false">SUMPRODUCT((Costos!$C$5:$C$88=F$4)*Costos!$E$5:$E$88*(Costos!$K$5:$K$88&lt;=$A83)*(Costos!$L$5:$L$88&gt;$A83))</f>
        <v>0</v>
      </c>
      <c r="G83" s="48" t="n">
        <f aca="false">SUMPRODUCT((Costos!$C$5:$C$88=G$4)*Costos!$E$5:$E$88*(Costos!$K$5:$K$88&lt;=$A83)*(Costos!$L$5:$L$88&gt;$A83))</f>
        <v>0</v>
      </c>
      <c r="H83" s="48" t="n">
        <f aca="false">SUMPRODUCT((Costos!$C$5:$C$88=H$4)*Costos!$E$5:$E$88*(Costos!$K$5:$K$88&lt;=$A83)*(Costos!$L$5:$L$88&gt;$A83))</f>
        <v>0</v>
      </c>
      <c r="I83" s="48" t="n">
        <f aca="false">SUMPRODUCT((Costos!$C$5:$C$88=I$4)*Costos!$E$5:$E$88*(Costos!$K$5:$K$88&lt;=$A83)*(Costos!$L$5:$L$88&gt;$A83))</f>
        <v>0</v>
      </c>
      <c r="J83" s="48" t="n">
        <f aca="false">SUMPRODUCT((Costos!$C$5:$C$88=J$4)*Costos!$E$5:$E$88*(Costos!$K$5:$K$88&lt;=$A83)*(Costos!$L$5:$L$88&gt;$A83))</f>
        <v>0</v>
      </c>
      <c r="K83" s="48" t="n">
        <f aca="false">SUMPRODUCT((Costos!$C$5:$C$88=K$4)*Costos!$E$5:$E$88*(Costos!$K$5:$K$88&lt;=$A83)*(Costos!$L$5:$L$88&gt;$A83))</f>
        <v>0</v>
      </c>
      <c r="L83" s="48" t="n">
        <f aca="false">SUMPRODUCT((Costos!$C$5:$C$88=L$4)*Costos!$E$5:$E$88*(Costos!$K$5:$K$88&lt;=$A83)*(Costos!$L$5:$L$88&gt;$A83))</f>
        <v>0</v>
      </c>
      <c r="M83" s="48" t="n">
        <f aca="false">SUMPRODUCT((Costos!$C$5:$C$88=M$4)*Costos!$E$5:$E$88*(Costos!$K$5:$K$88&lt;=$A83)*(Costos!$L$5:$L$88&gt;$A83))</f>
        <v>0</v>
      </c>
      <c r="N83" s="48" t="n">
        <f aca="false">SUMPRODUCT((Costos!$C$5:$C$88=N$4)*Costos!$E$5:$E$88*(Costos!$K$5:$K$88&lt;=$A83)*(Costos!$L$5:$L$88&gt;$A83))</f>
        <v>0</v>
      </c>
    </row>
    <row r="84" customFormat="false" ht="15" hidden="false" customHeight="false" outlineLevel="0" collapsed="false">
      <c r="A84" s="26" t="n">
        <v>79</v>
      </c>
      <c r="B84" s="47" t="n">
        <f aca="false">INDEX(Calendario!$B$3:$B$172,A84+1)</f>
        <v>46415</v>
      </c>
      <c r="C84" s="48" t="n">
        <f aca="false">SUMPRODUCT((Costos!$C$5:$C$88=C$4)*Costos!$E$5:$E$88*(Costos!$K$5:$K$88&lt;=$A84)*(Costos!$L$5:$L$88&gt;$A84))</f>
        <v>0.5</v>
      </c>
      <c r="D84" s="48" t="n">
        <f aca="false">SUMPRODUCT((Costos!$C$5:$C$88=D$4)*Costos!$E$5:$E$88*(Costos!$K$5:$K$88&lt;=$A84)*(Costos!$L$5:$L$88&gt;$A84))</f>
        <v>0</v>
      </c>
      <c r="E84" s="48" t="n">
        <f aca="false">SUMPRODUCT((Costos!$C$5:$C$88=E$4)*Costos!$E$5:$E$88*(Costos!$K$5:$K$88&lt;=$A84)*(Costos!$L$5:$L$88&gt;$A84))</f>
        <v>0</v>
      </c>
      <c r="F84" s="48" t="n">
        <f aca="false">SUMPRODUCT((Costos!$C$5:$C$88=F$4)*Costos!$E$5:$E$88*(Costos!$K$5:$K$88&lt;=$A84)*(Costos!$L$5:$L$88&gt;$A84))</f>
        <v>0</v>
      </c>
      <c r="G84" s="48" t="n">
        <f aca="false">SUMPRODUCT((Costos!$C$5:$C$88=G$4)*Costos!$E$5:$E$88*(Costos!$K$5:$K$88&lt;=$A84)*(Costos!$L$5:$L$88&gt;$A84))</f>
        <v>0</v>
      </c>
      <c r="H84" s="48" t="n">
        <f aca="false">SUMPRODUCT((Costos!$C$5:$C$88=H$4)*Costos!$E$5:$E$88*(Costos!$K$5:$K$88&lt;=$A84)*(Costos!$L$5:$L$88&gt;$A84))</f>
        <v>0</v>
      </c>
      <c r="I84" s="48" t="n">
        <f aca="false">SUMPRODUCT((Costos!$C$5:$C$88=I$4)*Costos!$E$5:$E$88*(Costos!$K$5:$K$88&lt;=$A84)*(Costos!$L$5:$L$88&gt;$A84))</f>
        <v>0</v>
      </c>
      <c r="J84" s="48" t="n">
        <f aca="false">SUMPRODUCT((Costos!$C$5:$C$88=J$4)*Costos!$E$5:$E$88*(Costos!$K$5:$K$88&lt;=$A84)*(Costos!$L$5:$L$88&gt;$A84))</f>
        <v>0</v>
      </c>
      <c r="K84" s="48" t="n">
        <f aca="false">SUMPRODUCT((Costos!$C$5:$C$88=K$4)*Costos!$E$5:$E$88*(Costos!$K$5:$K$88&lt;=$A84)*(Costos!$L$5:$L$88&gt;$A84))</f>
        <v>0</v>
      </c>
      <c r="L84" s="48" t="n">
        <f aca="false">SUMPRODUCT((Costos!$C$5:$C$88=L$4)*Costos!$E$5:$E$88*(Costos!$K$5:$K$88&lt;=$A84)*(Costos!$L$5:$L$88&gt;$A84))</f>
        <v>0</v>
      </c>
      <c r="M84" s="48" t="n">
        <f aca="false">SUMPRODUCT((Costos!$C$5:$C$88=M$4)*Costos!$E$5:$E$88*(Costos!$K$5:$K$88&lt;=$A84)*(Costos!$L$5:$L$88&gt;$A84))</f>
        <v>0</v>
      </c>
      <c r="N84" s="48" t="n">
        <f aca="false">SUMPRODUCT((Costos!$C$5:$C$88=N$4)*Costos!$E$5:$E$88*(Costos!$K$5:$K$88&lt;=$A84)*(Costos!$L$5:$L$88&gt;$A84))</f>
        <v>0</v>
      </c>
    </row>
    <row r="85" customFormat="false" ht="15" hidden="false" customHeight="false" outlineLevel="0" collapsed="false">
      <c r="A85" s="26" t="n">
        <v>80</v>
      </c>
      <c r="B85" s="47" t="n">
        <f aca="false">INDEX(Calendario!$B$3:$B$172,A85+1)</f>
        <v>46416</v>
      </c>
      <c r="C85" s="48" t="n">
        <f aca="false">SUMPRODUCT((Costos!$C$5:$C$88=C$4)*Costos!$E$5:$E$88*(Costos!$K$5:$K$88&lt;=$A85)*(Costos!$L$5:$L$88&gt;$A85))</f>
        <v>0.5</v>
      </c>
      <c r="D85" s="48" t="n">
        <f aca="false">SUMPRODUCT((Costos!$C$5:$C$88=D$4)*Costos!$E$5:$E$88*(Costos!$K$5:$K$88&lt;=$A85)*(Costos!$L$5:$L$88&gt;$A85))</f>
        <v>0</v>
      </c>
      <c r="E85" s="48" t="n">
        <f aca="false">SUMPRODUCT((Costos!$C$5:$C$88=E$4)*Costos!$E$5:$E$88*(Costos!$K$5:$K$88&lt;=$A85)*(Costos!$L$5:$L$88&gt;$A85))</f>
        <v>0</v>
      </c>
      <c r="F85" s="48" t="n">
        <f aca="false">SUMPRODUCT((Costos!$C$5:$C$88=F$4)*Costos!$E$5:$E$88*(Costos!$K$5:$K$88&lt;=$A85)*(Costos!$L$5:$L$88&gt;$A85))</f>
        <v>0</v>
      </c>
      <c r="G85" s="48" t="n">
        <f aca="false">SUMPRODUCT((Costos!$C$5:$C$88=G$4)*Costos!$E$5:$E$88*(Costos!$K$5:$K$88&lt;=$A85)*(Costos!$L$5:$L$88&gt;$A85))</f>
        <v>0</v>
      </c>
      <c r="H85" s="48" t="n">
        <f aca="false">SUMPRODUCT((Costos!$C$5:$C$88=H$4)*Costos!$E$5:$E$88*(Costos!$K$5:$K$88&lt;=$A85)*(Costos!$L$5:$L$88&gt;$A85))</f>
        <v>0</v>
      </c>
      <c r="I85" s="48" t="n">
        <f aca="false">SUMPRODUCT((Costos!$C$5:$C$88=I$4)*Costos!$E$5:$E$88*(Costos!$K$5:$K$88&lt;=$A85)*(Costos!$L$5:$L$88&gt;$A85))</f>
        <v>0</v>
      </c>
      <c r="J85" s="48" t="n">
        <f aca="false">SUMPRODUCT((Costos!$C$5:$C$88=J$4)*Costos!$E$5:$E$88*(Costos!$K$5:$K$88&lt;=$A85)*(Costos!$L$5:$L$88&gt;$A85))</f>
        <v>0</v>
      </c>
      <c r="K85" s="48" t="n">
        <f aca="false">SUMPRODUCT((Costos!$C$5:$C$88=K$4)*Costos!$E$5:$E$88*(Costos!$K$5:$K$88&lt;=$A85)*(Costos!$L$5:$L$88&gt;$A85))</f>
        <v>0</v>
      </c>
      <c r="L85" s="48" t="n">
        <f aca="false">SUMPRODUCT((Costos!$C$5:$C$88=L$4)*Costos!$E$5:$E$88*(Costos!$K$5:$K$88&lt;=$A85)*(Costos!$L$5:$L$88&gt;$A85))</f>
        <v>0</v>
      </c>
      <c r="M85" s="48" t="n">
        <f aca="false">SUMPRODUCT((Costos!$C$5:$C$88=M$4)*Costos!$E$5:$E$88*(Costos!$K$5:$K$88&lt;=$A85)*(Costos!$L$5:$L$88&gt;$A85))</f>
        <v>0</v>
      </c>
      <c r="N85" s="48" t="n">
        <f aca="false">SUMPRODUCT((Costos!$C$5:$C$88=N$4)*Costos!$E$5:$E$88*(Costos!$K$5:$K$88&lt;=$A85)*(Costos!$L$5:$L$88&gt;$A85))</f>
        <v>0</v>
      </c>
    </row>
    <row r="86" customFormat="false" ht="15" hidden="false" customHeight="false" outlineLevel="0" collapsed="false">
      <c r="A86" s="26" t="n">
        <v>81</v>
      </c>
      <c r="B86" s="47" t="n">
        <f aca="false">INDEX(Calendario!$B$3:$B$172,A86+1)</f>
        <v>46419</v>
      </c>
      <c r="C86" s="48" t="n">
        <f aca="false">SUMPRODUCT((Costos!$C$5:$C$88=C$4)*Costos!$E$5:$E$88*(Costos!$K$5:$K$88&lt;=$A86)*(Costos!$L$5:$L$88&gt;$A86))</f>
        <v>0.5</v>
      </c>
      <c r="D86" s="48" t="n">
        <f aca="false">SUMPRODUCT((Costos!$C$5:$C$88=D$4)*Costos!$E$5:$E$88*(Costos!$K$5:$K$88&lt;=$A86)*(Costos!$L$5:$L$88&gt;$A86))</f>
        <v>0</v>
      </c>
      <c r="E86" s="48" t="n">
        <f aca="false">SUMPRODUCT((Costos!$C$5:$C$88=E$4)*Costos!$E$5:$E$88*(Costos!$K$5:$K$88&lt;=$A86)*(Costos!$L$5:$L$88&gt;$A86))</f>
        <v>0</v>
      </c>
      <c r="F86" s="48" t="n">
        <f aca="false">SUMPRODUCT((Costos!$C$5:$C$88=F$4)*Costos!$E$5:$E$88*(Costos!$K$5:$K$88&lt;=$A86)*(Costos!$L$5:$L$88&gt;$A86))</f>
        <v>0</v>
      </c>
      <c r="G86" s="48" t="n">
        <f aca="false">SUMPRODUCT((Costos!$C$5:$C$88=G$4)*Costos!$E$5:$E$88*(Costos!$K$5:$K$88&lt;=$A86)*(Costos!$L$5:$L$88&gt;$A86))</f>
        <v>0</v>
      </c>
      <c r="H86" s="48" t="n">
        <f aca="false">SUMPRODUCT((Costos!$C$5:$C$88=H$4)*Costos!$E$5:$E$88*(Costos!$K$5:$K$88&lt;=$A86)*(Costos!$L$5:$L$88&gt;$A86))</f>
        <v>0</v>
      </c>
      <c r="I86" s="48" t="n">
        <f aca="false">SUMPRODUCT((Costos!$C$5:$C$88=I$4)*Costos!$E$5:$E$88*(Costos!$K$5:$K$88&lt;=$A86)*(Costos!$L$5:$L$88&gt;$A86))</f>
        <v>0</v>
      </c>
      <c r="J86" s="48" t="n">
        <f aca="false">SUMPRODUCT((Costos!$C$5:$C$88=J$4)*Costos!$E$5:$E$88*(Costos!$K$5:$K$88&lt;=$A86)*(Costos!$L$5:$L$88&gt;$A86))</f>
        <v>0</v>
      </c>
      <c r="K86" s="48" t="n">
        <f aca="false">SUMPRODUCT((Costos!$C$5:$C$88=K$4)*Costos!$E$5:$E$88*(Costos!$K$5:$K$88&lt;=$A86)*(Costos!$L$5:$L$88&gt;$A86))</f>
        <v>0</v>
      </c>
      <c r="L86" s="48" t="n">
        <f aca="false">SUMPRODUCT((Costos!$C$5:$C$88=L$4)*Costos!$E$5:$E$88*(Costos!$K$5:$K$88&lt;=$A86)*(Costos!$L$5:$L$88&gt;$A86))</f>
        <v>0</v>
      </c>
      <c r="M86" s="48" t="n">
        <f aca="false">SUMPRODUCT((Costos!$C$5:$C$88=M$4)*Costos!$E$5:$E$88*(Costos!$K$5:$K$88&lt;=$A86)*(Costos!$L$5:$L$88&gt;$A86))</f>
        <v>0</v>
      </c>
      <c r="N86" s="48" t="n">
        <f aca="false">SUMPRODUCT((Costos!$C$5:$C$88=N$4)*Costos!$E$5:$E$88*(Costos!$K$5:$K$88&lt;=$A86)*(Costos!$L$5:$L$88&gt;$A86))</f>
        <v>0</v>
      </c>
    </row>
    <row r="87" customFormat="false" ht="15" hidden="false" customHeight="false" outlineLevel="0" collapsed="false">
      <c r="A87" s="26" t="n">
        <v>82</v>
      </c>
      <c r="B87" s="47" t="n">
        <f aca="false">INDEX(Calendario!$B$3:$B$172,A87+1)</f>
        <v>46420</v>
      </c>
      <c r="C87" s="48" t="n">
        <f aca="false">SUMPRODUCT((Costos!$C$5:$C$88=C$4)*Costos!$E$5:$E$88*(Costos!$K$5:$K$88&lt;=$A87)*(Costos!$L$5:$L$88&gt;$A87))</f>
        <v>0.5</v>
      </c>
      <c r="D87" s="48" t="n">
        <f aca="false">SUMPRODUCT((Costos!$C$5:$C$88=D$4)*Costos!$E$5:$E$88*(Costos!$K$5:$K$88&lt;=$A87)*(Costos!$L$5:$L$88&gt;$A87))</f>
        <v>0</v>
      </c>
      <c r="E87" s="48" t="n">
        <f aca="false">SUMPRODUCT((Costos!$C$5:$C$88=E$4)*Costos!$E$5:$E$88*(Costos!$K$5:$K$88&lt;=$A87)*(Costos!$L$5:$L$88&gt;$A87))</f>
        <v>0</v>
      </c>
      <c r="F87" s="48" t="n">
        <f aca="false">SUMPRODUCT((Costos!$C$5:$C$88=F$4)*Costos!$E$5:$E$88*(Costos!$K$5:$K$88&lt;=$A87)*(Costos!$L$5:$L$88&gt;$A87))</f>
        <v>0</v>
      </c>
      <c r="G87" s="48" t="n">
        <f aca="false">SUMPRODUCT((Costos!$C$5:$C$88=G$4)*Costos!$E$5:$E$88*(Costos!$K$5:$K$88&lt;=$A87)*(Costos!$L$5:$L$88&gt;$A87))</f>
        <v>0</v>
      </c>
      <c r="H87" s="48" t="n">
        <f aca="false">SUMPRODUCT((Costos!$C$5:$C$88=H$4)*Costos!$E$5:$E$88*(Costos!$K$5:$K$88&lt;=$A87)*(Costos!$L$5:$L$88&gt;$A87))</f>
        <v>0</v>
      </c>
      <c r="I87" s="48" t="n">
        <f aca="false">SUMPRODUCT((Costos!$C$5:$C$88=I$4)*Costos!$E$5:$E$88*(Costos!$K$5:$K$88&lt;=$A87)*(Costos!$L$5:$L$88&gt;$A87))</f>
        <v>0</v>
      </c>
      <c r="J87" s="48" t="n">
        <f aca="false">SUMPRODUCT((Costos!$C$5:$C$88=J$4)*Costos!$E$5:$E$88*(Costos!$K$5:$K$88&lt;=$A87)*(Costos!$L$5:$L$88&gt;$A87))</f>
        <v>0</v>
      </c>
      <c r="K87" s="48" t="n">
        <f aca="false">SUMPRODUCT((Costos!$C$5:$C$88=K$4)*Costos!$E$5:$E$88*(Costos!$K$5:$K$88&lt;=$A87)*(Costos!$L$5:$L$88&gt;$A87))</f>
        <v>0</v>
      </c>
      <c r="L87" s="48" t="n">
        <f aca="false">SUMPRODUCT((Costos!$C$5:$C$88=L$4)*Costos!$E$5:$E$88*(Costos!$K$5:$K$88&lt;=$A87)*(Costos!$L$5:$L$88&gt;$A87))</f>
        <v>0</v>
      </c>
      <c r="M87" s="48" t="n">
        <f aca="false">SUMPRODUCT((Costos!$C$5:$C$88=M$4)*Costos!$E$5:$E$88*(Costos!$K$5:$K$88&lt;=$A87)*(Costos!$L$5:$L$88&gt;$A87))</f>
        <v>0</v>
      </c>
      <c r="N87" s="48" t="n">
        <f aca="false">SUMPRODUCT((Costos!$C$5:$C$88=N$4)*Costos!$E$5:$E$88*(Costos!$K$5:$K$88&lt;=$A87)*(Costos!$L$5:$L$88&gt;$A87))</f>
        <v>0</v>
      </c>
    </row>
    <row r="88" customFormat="false" ht="15" hidden="false" customHeight="false" outlineLevel="0" collapsed="false">
      <c r="A88" s="26" t="n">
        <v>83</v>
      </c>
      <c r="B88" s="47" t="n">
        <f aca="false">INDEX(Calendario!$B$3:$B$172,A88+1)</f>
        <v>46421</v>
      </c>
      <c r="C88" s="48" t="n">
        <f aca="false">SUMPRODUCT((Costos!$C$5:$C$88=C$4)*Costos!$E$5:$E$88*(Costos!$K$5:$K$88&lt;=$A88)*(Costos!$L$5:$L$88&gt;$A88))</f>
        <v>0.5</v>
      </c>
      <c r="D88" s="48" t="n">
        <f aca="false">SUMPRODUCT((Costos!$C$5:$C$88=D$4)*Costos!$E$5:$E$88*(Costos!$K$5:$K$88&lt;=$A88)*(Costos!$L$5:$L$88&gt;$A88))</f>
        <v>0</v>
      </c>
      <c r="E88" s="48" t="n">
        <f aca="false">SUMPRODUCT((Costos!$C$5:$C$88=E$4)*Costos!$E$5:$E$88*(Costos!$K$5:$K$88&lt;=$A88)*(Costos!$L$5:$L$88&gt;$A88))</f>
        <v>0</v>
      </c>
      <c r="F88" s="48" t="n">
        <f aca="false">SUMPRODUCT((Costos!$C$5:$C$88=F$4)*Costos!$E$5:$E$88*(Costos!$K$5:$K$88&lt;=$A88)*(Costos!$L$5:$L$88&gt;$A88))</f>
        <v>0</v>
      </c>
      <c r="G88" s="48" t="n">
        <f aca="false">SUMPRODUCT((Costos!$C$5:$C$88=G$4)*Costos!$E$5:$E$88*(Costos!$K$5:$K$88&lt;=$A88)*(Costos!$L$5:$L$88&gt;$A88))</f>
        <v>0</v>
      </c>
      <c r="H88" s="48" t="n">
        <f aca="false">SUMPRODUCT((Costos!$C$5:$C$88=H$4)*Costos!$E$5:$E$88*(Costos!$K$5:$K$88&lt;=$A88)*(Costos!$L$5:$L$88&gt;$A88))</f>
        <v>0</v>
      </c>
      <c r="I88" s="48" t="n">
        <f aca="false">SUMPRODUCT((Costos!$C$5:$C$88=I$4)*Costos!$E$5:$E$88*(Costos!$K$5:$K$88&lt;=$A88)*(Costos!$L$5:$L$88&gt;$A88))</f>
        <v>0</v>
      </c>
      <c r="J88" s="48" t="n">
        <f aca="false">SUMPRODUCT((Costos!$C$5:$C$88=J$4)*Costos!$E$5:$E$88*(Costos!$K$5:$K$88&lt;=$A88)*(Costos!$L$5:$L$88&gt;$A88))</f>
        <v>0</v>
      </c>
      <c r="K88" s="48" t="n">
        <f aca="false">SUMPRODUCT((Costos!$C$5:$C$88=K$4)*Costos!$E$5:$E$88*(Costos!$K$5:$K$88&lt;=$A88)*(Costos!$L$5:$L$88&gt;$A88))</f>
        <v>0</v>
      </c>
      <c r="L88" s="48" t="n">
        <f aca="false">SUMPRODUCT((Costos!$C$5:$C$88=L$4)*Costos!$E$5:$E$88*(Costos!$K$5:$K$88&lt;=$A88)*(Costos!$L$5:$L$88&gt;$A88))</f>
        <v>0</v>
      </c>
      <c r="M88" s="48" t="n">
        <f aca="false">SUMPRODUCT((Costos!$C$5:$C$88=M$4)*Costos!$E$5:$E$88*(Costos!$K$5:$K$88&lt;=$A88)*(Costos!$L$5:$L$88&gt;$A88))</f>
        <v>0</v>
      </c>
      <c r="N88" s="48" t="n">
        <f aca="false">SUMPRODUCT((Costos!$C$5:$C$88=N$4)*Costos!$E$5:$E$88*(Costos!$K$5:$K$88&lt;=$A88)*(Costos!$L$5:$L$88&gt;$A88))</f>
        <v>0</v>
      </c>
    </row>
    <row r="89" customFormat="false" ht="15" hidden="false" customHeight="false" outlineLevel="0" collapsed="false">
      <c r="A89" s="26" t="n">
        <v>84</v>
      </c>
      <c r="B89" s="47" t="n">
        <f aca="false">INDEX(Calendario!$B$3:$B$172,A89+1)</f>
        <v>46422</v>
      </c>
      <c r="C89" s="48" t="n">
        <f aca="false">SUMPRODUCT((Costos!$C$5:$C$88=C$4)*Costos!$E$5:$E$88*(Costos!$K$5:$K$88&lt;=$A89)*(Costos!$L$5:$L$88&gt;$A89))</f>
        <v>0.5</v>
      </c>
      <c r="D89" s="48" t="n">
        <f aca="false">SUMPRODUCT((Costos!$C$5:$C$88=D$4)*Costos!$E$5:$E$88*(Costos!$K$5:$K$88&lt;=$A89)*(Costos!$L$5:$L$88&gt;$A89))</f>
        <v>0</v>
      </c>
      <c r="E89" s="48" t="n">
        <f aca="false">SUMPRODUCT((Costos!$C$5:$C$88=E$4)*Costos!$E$5:$E$88*(Costos!$K$5:$K$88&lt;=$A89)*(Costos!$L$5:$L$88&gt;$A89))</f>
        <v>0</v>
      </c>
      <c r="F89" s="48" t="n">
        <f aca="false">SUMPRODUCT((Costos!$C$5:$C$88=F$4)*Costos!$E$5:$E$88*(Costos!$K$5:$K$88&lt;=$A89)*(Costos!$L$5:$L$88&gt;$A89))</f>
        <v>0</v>
      </c>
      <c r="G89" s="48" t="n">
        <f aca="false">SUMPRODUCT((Costos!$C$5:$C$88=G$4)*Costos!$E$5:$E$88*(Costos!$K$5:$K$88&lt;=$A89)*(Costos!$L$5:$L$88&gt;$A89))</f>
        <v>0</v>
      </c>
      <c r="H89" s="48" t="n">
        <f aca="false">SUMPRODUCT((Costos!$C$5:$C$88=H$4)*Costos!$E$5:$E$88*(Costos!$K$5:$K$88&lt;=$A89)*(Costos!$L$5:$L$88&gt;$A89))</f>
        <v>0</v>
      </c>
      <c r="I89" s="48" t="n">
        <f aca="false">SUMPRODUCT((Costos!$C$5:$C$88=I$4)*Costos!$E$5:$E$88*(Costos!$K$5:$K$88&lt;=$A89)*(Costos!$L$5:$L$88&gt;$A89))</f>
        <v>0</v>
      </c>
      <c r="J89" s="48" t="n">
        <f aca="false">SUMPRODUCT((Costos!$C$5:$C$88=J$4)*Costos!$E$5:$E$88*(Costos!$K$5:$K$88&lt;=$A89)*(Costos!$L$5:$L$88&gt;$A89))</f>
        <v>0</v>
      </c>
      <c r="K89" s="48" t="n">
        <f aca="false">SUMPRODUCT((Costos!$C$5:$C$88=K$4)*Costos!$E$5:$E$88*(Costos!$K$5:$K$88&lt;=$A89)*(Costos!$L$5:$L$88&gt;$A89))</f>
        <v>0</v>
      </c>
      <c r="L89" s="48" t="n">
        <f aca="false">SUMPRODUCT((Costos!$C$5:$C$88=L$4)*Costos!$E$5:$E$88*(Costos!$K$5:$K$88&lt;=$A89)*(Costos!$L$5:$L$88&gt;$A89))</f>
        <v>0</v>
      </c>
      <c r="M89" s="48" t="n">
        <f aca="false">SUMPRODUCT((Costos!$C$5:$C$88=M$4)*Costos!$E$5:$E$88*(Costos!$K$5:$K$88&lt;=$A89)*(Costos!$L$5:$L$88&gt;$A89))</f>
        <v>0</v>
      </c>
      <c r="N89" s="48" t="n">
        <f aca="false">SUMPRODUCT((Costos!$C$5:$C$88=N$4)*Costos!$E$5:$E$88*(Costos!$K$5:$K$88&lt;=$A89)*(Costos!$L$5:$L$88&gt;$A89))</f>
        <v>0</v>
      </c>
    </row>
    <row r="90" customFormat="false" ht="15" hidden="false" customHeight="false" outlineLevel="0" collapsed="false">
      <c r="A90" s="26" t="n">
        <v>85</v>
      </c>
      <c r="B90" s="47" t="n">
        <f aca="false">INDEX(Calendario!$B$3:$B$172,A90+1)</f>
        <v>46423</v>
      </c>
      <c r="C90" s="48" t="n">
        <f aca="false">SUMPRODUCT((Costos!$C$5:$C$88=C$4)*Costos!$E$5:$E$88*(Costos!$K$5:$K$88&lt;=$A90)*(Costos!$L$5:$L$88&gt;$A90))</f>
        <v>0.5</v>
      </c>
      <c r="D90" s="48" t="n">
        <f aca="false">SUMPRODUCT((Costos!$C$5:$C$88=D$4)*Costos!$E$5:$E$88*(Costos!$K$5:$K$88&lt;=$A90)*(Costos!$L$5:$L$88&gt;$A90))</f>
        <v>0</v>
      </c>
      <c r="E90" s="48" t="n">
        <f aca="false">SUMPRODUCT((Costos!$C$5:$C$88=E$4)*Costos!$E$5:$E$88*(Costos!$K$5:$K$88&lt;=$A90)*(Costos!$L$5:$L$88&gt;$A90))</f>
        <v>0</v>
      </c>
      <c r="F90" s="48" t="n">
        <f aca="false">SUMPRODUCT((Costos!$C$5:$C$88=F$4)*Costos!$E$5:$E$88*(Costos!$K$5:$K$88&lt;=$A90)*(Costos!$L$5:$L$88&gt;$A90))</f>
        <v>0</v>
      </c>
      <c r="G90" s="48" t="n">
        <f aca="false">SUMPRODUCT((Costos!$C$5:$C$88=G$4)*Costos!$E$5:$E$88*(Costos!$K$5:$K$88&lt;=$A90)*(Costos!$L$5:$L$88&gt;$A90))</f>
        <v>0</v>
      </c>
      <c r="H90" s="48" t="n">
        <f aca="false">SUMPRODUCT((Costos!$C$5:$C$88=H$4)*Costos!$E$5:$E$88*(Costos!$K$5:$K$88&lt;=$A90)*(Costos!$L$5:$L$88&gt;$A90))</f>
        <v>0</v>
      </c>
      <c r="I90" s="48" t="n">
        <f aca="false">SUMPRODUCT((Costos!$C$5:$C$88=I$4)*Costos!$E$5:$E$88*(Costos!$K$5:$K$88&lt;=$A90)*(Costos!$L$5:$L$88&gt;$A90))</f>
        <v>0</v>
      </c>
      <c r="J90" s="48" t="n">
        <f aca="false">SUMPRODUCT((Costos!$C$5:$C$88=J$4)*Costos!$E$5:$E$88*(Costos!$K$5:$K$88&lt;=$A90)*(Costos!$L$5:$L$88&gt;$A90))</f>
        <v>0</v>
      </c>
      <c r="K90" s="48" t="n">
        <f aca="false">SUMPRODUCT((Costos!$C$5:$C$88=K$4)*Costos!$E$5:$E$88*(Costos!$K$5:$K$88&lt;=$A90)*(Costos!$L$5:$L$88&gt;$A90))</f>
        <v>0</v>
      </c>
      <c r="L90" s="48" t="n">
        <f aca="false">SUMPRODUCT((Costos!$C$5:$C$88=L$4)*Costos!$E$5:$E$88*(Costos!$K$5:$K$88&lt;=$A90)*(Costos!$L$5:$L$88&gt;$A90))</f>
        <v>0</v>
      </c>
      <c r="M90" s="48" t="n">
        <f aca="false">SUMPRODUCT((Costos!$C$5:$C$88=M$4)*Costos!$E$5:$E$88*(Costos!$K$5:$K$88&lt;=$A90)*(Costos!$L$5:$L$88&gt;$A90))</f>
        <v>0</v>
      </c>
      <c r="N90" s="48" t="n">
        <f aca="false">SUMPRODUCT((Costos!$C$5:$C$88=N$4)*Costos!$E$5:$E$88*(Costos!$K$5:$K$88&lt;=$A90)*(Costos!$L$5:$L$88&gt;$A90))</f>
        <v>0</v>
      </c>
    </row>
    <row r="91" customFormat="false" ht="15" hidden="false" customHeight="false" outlineLevel="0" collapsed="false">
      <c r="A91" s="26" t="n">
        <v>86</v>
      </c>
      <c r="B91" s="47" t="n">
        <f aca="false">INDEX(Calendario!$B$3:$B$172,A91+1)</f>
        <v>46428</v>
      </c>
      <c r="C91" s="48" t="n">
        <f aca="false">SUMPRODUCT((Costos!$C$5:$C$88=C$4)*Costos!$E$5:$E$88*(Costos!$K$5:$K$88&lt;=$A91)*(Costos!$L$5:$L$88&gt;$A91))</f>
        <v>0.5</v>
      </c>
      <c r="D91" s="48" t="n">
        <f aca="false">SUMPRODUCT((Costos!$C$5:$C$88=D$4)*Costos!$E$5:$E$88*(Costos!$K$5:$K$88&lt;=$A91)*(Costos!$L$5:$L$88&gt;$A91))</f>
        <v>0</v>
      </c>
      <c r="E91" s="48" t="n">
        <f aca="false">SUMPRODUCT((Costos!$C$5:$C$88=E$4)*Costos!$E$5:$E$88*(Costos!$K$5:$K$88&lt;=$A91)*(Costos!$L$5:$L$88&gt;$A91))</f>
        <v>0</v>
      </c>
      <c r="F91" s="48" t="n">
        <f aca="false">SUMPRODUCT((Costos!$C$5:$C$88=F$4)*Costos!$E$5:$E$88*(Costos!$K$5:$K$88&lt;=$A91)*(Costos!$L$5:$L$88&gt;$A91))</f>
        <v>0</v>
      </c>
      <c r="G91" s="48" t="n">
        <f aca="false">SUMPRODUCT((Costos!$C$5:$C$88=G$4)*Costos!$E$5:$E$88*(Costos!$K$5:$K$88&lt;=$A91)*(Costos!$L$5:$L$88&gt;$A91))</f>
        <v>0</v>
      </c>
      <c r="H91" s="48" t="n">
        <f aca="false">SUMPRODUCT((Costos!$C$5:$C$88=H$4)*Costos!$E$5:$E$88*(Costos!$K$5:$K$88&lt;=$A91)*(Costos!$L$5:$L$88&gt;$A91))</f>
        <v>0</v>
      </c>
      <c r="I91" s="48" t="n">
        <f aca="false">SUMPRODUCT((Costos!$C$5:$C$88=I$4)*Costos!$E$5:$E$88*(Costos!$K$5:$K$88&lt;=$A91)*(Costos!$L$5:$L$88&gt;$A91))</f>
        <v>0</v>
      </c>
      <c r="J91" s="48" t="n">
        <f aca="false">SUMPRODUCT((Costos!$C$5:$C$88=J$4)*Costos!$E$5:$E$88*(Costos!$K$5:$K$88&lt;=$A91)*(Costos!$L$5:$L$88&gt;$A91))</f>
        <v>0</v>
      </c>
      <c r="K91" s="48" t="n">
        <f aca="false">SUMPRODUCT((Costos!$C$5:$C$88=K$4)*Costos!$E$5:$E$88*(Costos!$K$5:$K$88&lt;=$A91)*(Costos!$L$5:$L$88&gt;$A91))</f>
        <v>0</v>
      </c>
      <c r="L91" s="48" t="n">
        <f aca="false">SUMPRODUCT((Costos!$C$5:$C$88=L$4)*Costos!$E$5:$E$88*(Costos!$K$5:$K$88&lt;=$A91)*(Costos!$L$5:$L$88&gt;$A91))</f>
        <v>0</v>
      </c>
      <c r="M91" s="48" t="n">
        <f aca="false">SUMPRODUCT((Costos!$C$5:$C$88=M$4)*Costos!$E$5:$E$88*(Costos!$K$5:$K$88&lt;=$A91)*(Costos!$L$5:$L$88&gt;$A91))</f>
        <v>0</v>
      </c>
      <c r="N91" s="48" t="n">
        <f aca="false">SUMPRODUCT((Costos!$C$5:$C$88=N$4)*Costos!$E$5:$E$88*(Costos!$K$5:$K$88&lt;=$A91)*(Costos!$L$5:$L$88&gt;$A91))</f>
        <v>0</v>
      </c>
    </row>
    <row r="92" customFormat="false" ht="15" hidden="false" customHeight="false" outlineLevel="0" collapsed="false">
      <c r="A92" s="26" t="n">
        <v>87</v>
      </c>
      <c r="B92" s="47" t="n">
        <f aca="false">INDEX(Calendario!$B$3:$B$172,A92+1)</f>
        <v>46429</v>
      </c>
      <c r="C92" s="48" t="n">
        <f aca="false">SUMPRODUCT((Costos!$C$5:$C$88=C$4)*Costos!$E$5:$E$88*(Costos!$K$5:$K$88&lt;=$A92)*(Costos!$L$5:$L$88&gt;$A92))</f>
        <v>0.5</v>
      </c>
      <c r="D92" s="48" t="n">
        <f aca="false">SUMPRODUCT((Costos!$C$5:$C$88=D$4)*Costos!$E$5:$E$88*(Costos!$K$5:$K$88&lt;=$A92)*(Costos!$L$5:$L$88&gt;$A92))</f>
        <v>0</v>
      </c>
      <c r="E92" s="48" t="n">
        <f aca="false">SUMPRODUCT((Costos!$C$5:$C$88=E$4)*Costos!$E$5:$E$88*(Costos!$K$5:$K$88&lt;=$A92)*(Costos!$L$5:$L$88&gt;$A92))</f>
        <v>0</v>
      </c>
      <c r="F92" s="48" t="n">
        <f aca="false">SUMPRODUCT((Costos!$C$5:$C$88=F$4)*Costos!$E$5:$E$88*(Costos!$K$5:$K$88&lt;=$A92)*(Costos!$L$5:$L$88&gt;$A92))</f>
        <v>0</v>
      </c>
      <c r="G92" s="48" t="n">
        <f aca="false">SUMPRODUCT((Costos!$C$5:$C$88=G$4)*Costos!$E$5:$E$88*(Costos!$K$5:$K$88&lt;=$A92)*(Costos!$L$5:$L$88&gt;$A92))</f>
        <v>0</v>
      </c>
      <c r="H92" s="48" t="n">
        <f aca="false">SUMPRODUCT((Costos!$C$5:$C$88=H$4)*Costos!$E$5:$E$88*(Costos!$K$5:$K$88&lt;=$A92)*(Costos!$L$5:$L$88&gt;$A92))</f>
        <v>0</v>
      </c>
      <c r="I92" s="48" t="n">
        <f aca="false">SUMPRODUCT((Costos!$C$5:$C$88=I$4)*Costos!$E$5:$E$88*(Costos!$K$5:$K$88&lt;=$A92)*(Costos!$L$5:$L$88&gt;$A92))</f>
        <v>0</v>
      </c>
      <c r="J92" s="48" t="n">
        <f aca="false">SUMPRODUCT((Costos!$C$5:$C$88=J$4)*Costos!$E$5:$E$88*(Costos!$K$5:$K$88&lt;=$A92)*(Costos!$L$5:$L$88&gt;$A92))</f>
        <v>0</v>
      </c>
      <c r="K92" s="48" t="n">
        <f aca="false">SUMPRODUCT((Costos!$C$5:$C$88=K$4)*Costos!$E$5:$E$88*(Costos!$K$5:$K$88&lt;=$A92)*(Costos!$L$5:$L$88&gt;$A92))</f>
        <v>0</v>
      </c>
      <c r="L92" s="48" t="n">
        <f aca="false">SUMPRODUCT((Costos!$C$5:$C$88=L$4)*Costos!$E$5:$E$88*(Costos!$K$5:$K$88&lt;=$A92)*(Costos!$L$5:$L$88&gt;$A92))</f>
        <v>0</v>
      </c>
      <c r="M92" s="48" t="n">
        <f aca="false">SUMPRODUCT((Costos!$C$5:$C$88=M$4)*Costos!$E$5:$E$88*(Costos!$K$5:$K$88&lt;=$A92)*(Costos!$L$5:$L$88&gt;$A92))</f>
        <v>0</v>
      </c>
      <c r="N92" s="48" t="n">
        <f aca="false">SUMPRODUCT((Costos!$C$5:$C$88=N$4)*Costos!$E$5:$E$88*(Costos!$K$5:$K$88&lt;=$A92)*(Costos!$L$5:$L$88&gt;$A92))</f>
        <v>0</v>
      </c>
    </row>
    <row r="93" customFormat="false" ht="15" hidden="false" customHeight="false" outlineLevel="0" collapsed="false">
      <c r="A93" s="26" t="n">
        <v>88</v>
      </c>
      <c r="B93" s="47" t="n">
        <f aca="false">INDEX(Calendario!$B$3:$B$172,A93+1)</f>
        <v>46430</v>
      </c>
      <c r="C93" s="48" t="n">
        <f aca="false">SUMPRODUCT((Costos!$C$5:$C$88=C$4)*Costos!$E$5:$E$88*(Costos!$K$5:$K$88&lt;=$A93)*(Costos!$L$5:$L$88&gt;$A93))</f>
        <v>0.5</v>
      </c>
      <c r="D93" s="48" t="n">
        <f aca="false">SUMPRODUCT((Costos!$C$5:$C$88=D$4)*Costos!$E$5:$E$88*(Costos!$K$5:$K$88&lt;=$A93)*(Costos!$L$5:$L$88&gt;$A93))</f>
        <v>0</v>
      </c>
      <c r="E93" s="48" t="n">
        <f aca="false">SUMPRODUCT((Costos!$C$5:$C$88=E$4)*Costos!$E$5:$E$88*(Costos!$K$5:$K$88&lt;=$A93)*(Costos!$L$5:$L$88&gt;$A93))</f>
        <v>0</v>
      </c>
      <c r="F93" s="48" t="n">
        <f aca="false">SUMPRODUCT((Costos!$C$5:$C$88=F$4)*Costos!$E$5:$E$88*(Costos!$K$5:$K$88&lt;=$A93)*(Costos!$L$5:$L$88&gt;$A93))</f>
        <v>0</v>
      </c>
      <c r="G93" s="48" t="n">
        <f aca="false">SUMPRODUCT((Costos!$C$5:$C$88=G$4)*Costos!$E$5:$E$88*(Costos!$K$5:$K$88&lt;=$A93)*(Costos!$L$5:$L$88&gt;$A93))</f>
        <v>0</v>
      </c>
      <c r="H93" s="48" t="n">
        <f aca="false">SUMPRODUCT((Costos!$C$5:$C$88=H$4)*Costos!$E$5:$E$88*(Costos!$K$5:$K$88&lt;=$A93)*(Costos!$L$5:$L$88&gt;$A93))</f>
        <v>0</v>
      </c>
      <c r="I93" s="48" t="n">
        <f aca="false">SUMPRODUCT((Costos!$C$5:$C$88=I$4)*Costos!$E$5:$E$88*(Costos!$K$5:$K$88&lt;=$A93)*(Costos!$L$5:$L$88&gt;$A93))</f>
        <v>0</v>
      </c>
      <c r="J93" s="48" t="n">
        <f aca="false">SUMPRODUCT((Costos!$C$5:$C$88=J$4)*Costos!$E$5:$E$88*(Costos!$K$5:$K$88&lt;=$A93)*(Costos!$L$5:$L$88&gt;$A93))</f>
        <v>0</v>
      </c>
      <c r="K93" s="48" t="n">
        <f aca="false">SUMPRODUCT((Costos!$C$5:$C$88=K$4)*Costos!$E$5:$E$88*(Costos!$K$5:$K$88&lt;=$A93)*(Costos!$L$5:$L$88&gt;$A93))</f>
        <v>0</v>
      </c>
      <c r="L93" s="48" t="n">
        <f aca="false">SUMPRODUCT((Costos!$C$5:$C$88=L$4)*Costos!$E$5:$E$88*(Costos!$K$5:$K$88&lt;=$A93)*(Costos!$L$5:$L$88&gt;$A93))</f>
        <v>0</v>
      </c>
      <c r="M93" s="48" t="n">
        <f aca="false">SUMPRODUCT((Costos!$C$5:$C$88=M$4)*Costos!$E$5:$E$88*(Costos!$K$5:$K$88&lt;=$A93)*(Costos!$L$5:$L$88&gt;$A93))</f>
        <v>0</v>
      </c>
      <c r="N93" s="48" t="n">
        <f aca="false">SUMPRODUCT((Costos!$C$5:$C$88=N$4)*Costos!$E$5:$E$88*(Costos!$K$5:$K$88&lt;=$A93)*(Costos!$L$5:$L$88&gt;$A93))</f>
        <v>0</v>
      </c>
    </row>
    <row r="94" customFormat="false" ht="15" hidden="false" customHeight="false" outlineLevel="0" collapsed="false">
      <c r="A94" s="26" t="n">
        <v>89</v>
      </c>
      <c r="B94" s="47" t="n">
        <f aca="false">INDEX(Calendario!$B$3:$B$172,A94+1)</f>
        <v>46433</v>
      </c>
      <c r="C94" s="48" t="n">
        <f aca="false">SUMPRODUCT((Costos!$C$5:$C$88=C$4)*Costos!$E$5:$E$88*(Costos!$K$5:$K$88&lt;=$A94)*(Costos!$L$5:$L$88&gt;$A94))</f>
        <v>0.5</v>
      </c>
      <c r="D94" s="48" t="n">
        <f aca="false">SUMPRODUCT((Costos!$C$5:$C$88=D$4)*Costos!$E$5:$E$88*(Costos!$K$5:$K$88&lt;=$A94)*(Costos!$L$5:$L$88&gt;$A94))</f>
        <v>0</v>
      </c>
      <c r="E94" s="48" t="n">
        <f aca="false">SUMPRODUCT((Costos!$C$5:$C$88=E$4)*Costos!$E$5:$E$88*(Costos!$K$5:$K$88&lt;=$A94)*(Costos!$L$5:$L$88&gt;$A94))</f>
        <v>0</v>
      </c>
      <c r="F94" s="48" t="n">
        <f aca="false">SUMPRODUCT((Costos!$C$5:$C$88=F$4)*Costos!$E$5:$E$88*(Costos!$K$5:$K$88&lt;=$A94)*(Costos!$L$5:$L$88&gt;$A94))</f>
        <v>0</v>
      </c>
      <c r="G94" s="48" t="n">
        <f aca="false">SUMPRODUCT((Costos!$C$5:$C$88=G$4)*Costos!$E$5:$E$88*(Costos!$K$5:$K$88&lt;=$A94)*(Costos!$L$5:$L$88&gt;$A94))</f>
        <v>0</v>
      </c>
      <c r="H94" s="48" t="n">
        <f aca="false">SUMPRODUCT((Costos!$C$5:$C$88=H$4)*Costos!$E$5:$E$88*(Costos!$K$5:$K$88&lt;=$A94)*(Costos!$L$5:$L$88&gt;$A94))</f>
        <v>0</v>
      </c>
      <c r="I94" s="48" t="n">
        <f aca="false">SUMPRODUCT((Costos!$C$5:$C$88=I$4)*Costos!$E$5:$E$88*(Costos!$K$5:$K$88&lt;=$A94)*(Costos!$L$5:$L$88&gt;$A94))</f>
        <v>0</v>
      </c>
      <c r="J94" s="48" t="n">
        <f aca="false">SUMPRODUCT((Costos!$C$5:$C$88=J$4)*Costos!$E$5:$E$88*(Costos!$K$5:$K$88&lt;=$A94)*(Costos!$L$5:$L$88&gt;$A94))</f>
        <v>0</v>
      </c>
      <c r="K94" s="48" t="n">
        <f aca="false">SUMPRODUCT((Costos!$C$5:$C$88=K$4)*Costos!$E$5:$E$88*(Costos!$K$5:$K$88&lt;=$A94)*(Costos!$L$5:$L$88&gt;$A94))</f>
        <v>0</v>
      </c>
      <c r="L94" s="48" t="n">
        <f aca="false">SUMPRODUCT((Costos!$C$5:$C$88=L$4)*Costos!$E$5:$E$88*(Costos!$K$5:$K$88&lt;=$A94)*(Costos!$L$5:$L$88&gt;$A94))</f>
        <v>0</v>
      </c>
      <c r="M94" s="48" t="n">
        <f aca="false">SUMPRODUCT((Costos!$C$5:$C$88=M$4)*Costos!$E$5:$E$88*(Costos!$K$5:$K$88&lt;=$A94)*(Costos!$L$5:$L$88&gt;$A94))</f>
        <v>0</v>
      </c>
      <c r="N94" s="48" t="n">
        <f aca="false">SUMPRODUCT((Costos!$C$5:$C$88=N$4)*Costos!$E$5:$E$88*(Costos!$K$5:$K$88&lt;=$A94)*(Costos!$L$5:$L$88&gt;$A94))</f>
        <v>0</v>
      </c>
    </row>
    <row r="95" customFormat="false" ht="15" hidden="false" customHeight="false" outlineLevel="0" collapsed="false">
      <c r="A95" s="26" t="n">
        <v>90</v>
      </c>
      <c r="B95" s="47" t="n">
        <f aca="false">INDEX(Calendario!$B$3:$B$172,A95+1)</f>
        <v>46434</v>
      </c>
      <c r="C95" s="48" t="n">
        <f aca="false">SUMPRODUCT((Costos!$C$5:$C$88=C$4)*Costos!$E$5:$E$88*(Costos!$K$5:$K$88&lt;=$A95)*(Costos!$L$5:$L$88&gt;$A95))</f>
        <v>0.5</v>
      </c>
      <c r="D95" s="48" t="n">
        <f aca="false">SUMPRODUCT((Costos!$C$5:$C$88=D$4)*Costos!$E$5:$E$88*(Costos!$K$5:$K$88&lt;=$A95)*(Costos!$L$5:$L$88&gt;$A95))</f>
        <v>0</v>
      </c>
      <c r="E95" s="48" t="n">
        <f aca="false">SUMPRODUCT((Costos!$C$5:$C$88=E$4)*Costos!$E$5:$E$88*(Costos!$K$5:$K$88&lt;=$A95)*(Costos!$L$5:$L$88&gt;$A95))</f>
        <v>0</v>
      </c>
      <c r="F95" s="48" t="n">
        <f aca="false">SUMPRODUCT((Costos!$C$5:$C$88=F$4)*Costos!$E$5:$E$88*(Costos!$K$5:$K$88&lt;=$A95)*(Costos!$L$5:$L$88&gt;$A95))</f>
        <v>0</v>
      </c>
      <c r="G95" s="48" t="n">
        <f aca="false">SUMPRODUCT((Costos!$C$5:$C$88=G$4)*Costos!$E$5:$E$88*(Costos!$K$5:$K$88&lt;=$A95)*(Costos!$L$5:$L$88&gt;$A95))</f>
        <v>0</v>
      </c>
      <c r="H95" s="48" t="n">
        <f aca="false">SUMPRODUCT((Costos!$C$5:$C$88=H$4)*Costos!$E$5:$E$88*(Costos!$K$5:$K$88&lt;=$A95)*(Costos!$L$5:$L$88&gt;$A95))</f>
        <v>0</v>
      </c>
      <c r="I95" s="48" t="n">
        <f aca="false">SUMPRODUCT((Costos!$C$5:$C$88=I$4)*Costos!$E$5:$E$88*(Costos!$K$5:$K$88&lt;=$A95)*(Costos!$L$5:$L$88&gt;$A95))</f>
        <v>0</v>
      </c>
      <c r="J95" s="48" t="n">
        <f aca="false">SUMPRODUCT((Costos!$C$5:$C$88=J$4)*Costos!$E$5:$E$88*(Costos!$K$5:$K$88&lt;=$A95)*(Costos!$L$5:$L$88&gt;$A95))</f>
        <v>0</v>
      </c>
      <c r="K95" s="48" t="n">
        <f aca="false">SUMPRODUCT((Costos!$C$5:$C$88=K$4)*Costos!$E$5:$E$88*(Costos!$K$5:$K$88&lt;=$A95)*(Costos!$L$5:$L$88&gt;$A95))</f>
        <v>0</v>
      </c>
      <c r="L95" s="48" t="n">
        <f aca="false">SUMPRODUCT((Costos!$C$5:$C$88=L$4)*Costos!$E$5:$E$88*(Costos!$K$5:$K$88&lt;=$A95)*(Costos!$L$5:$L$88&gt;$A95))</f>
        <v>0</v>
      </c>
      <c r="M95" s="48" t="n">
        <f aca="false">SUMPRODUCT((Costos!$C$5:$C$88=M$4)*Costos!$E$5:$E$88*(Costos!$K$5:$K$88&lt;=$A95)*(Costos!$L$5:$L$88&gt;$A95))</f>
        <v>0</v>
      </c>
      <c r="N95" s="48" t="n">
        <f aca="false">SUMPRODUCT((Costos!$C$5:$C$88=N$4)*Costos!$E$5:$E$88*(Costos!$K$5:$K$88&lt;=$A95)*(Costos!$L$5:$L$88&gt;$A95))</f>
        <v>0</v>
      </c>
    </row>
    <row r="96" customFormat="false" ht="15" hidden="false" customHeight="false" outlineLevel="0" collapsed="false">
      <c r="A96" s="26" t="n">
        <v>91</v>
      </c>
      <c r="B96" s="47" t="n">
        <f aca="false">INDEX(Calendario!$B$3:$B$172,A96+1)</f>
        <v>46435</v>
      </c>
      <c r="C96" s="48" t="n">
        <f aca="false">SUMPRODUCT((Costos!$C$5:$C$88=C$4)*Costos!$E$5:$E$88*(Costos!$K$5:$K$88&lt;=$A96)*(Costos!$L$5:$L$88&gt;$A96))</f>
        <v>0.5</v>
      </c>
      <c r="D96" s="48" t="n">
        <f aca="false">SUMPRODUCT((Costos!$C$5:$C$88=D$4)*Costos!$E$5:$E$88*(Costos!$K$5:$K$88&lt;=$A96)*(Costos!$L$5:$L$88&gt;$A96))</f>
        <v>0</v>
      </c>
      <c r="E96" s="48" t="n">
        <f aca="false">SUMPRODUCT((Costos!$C$5:$C$88=E$4)*Costos!$E$5:$E$88*(Costos!$K$5:$K$88&lt;=$A96)*(Costos!$L$5:$L$88&gt;$A96))</f>
        <v>0</v>
      </c>
      <c r="F96" s="48" t="n">
        <f aca="false">SUMPRODUCT((Costos!$C$5:$C$88=F$4)*Costos!$E$5:$E$88*(Costos!$K$5:$K$88&lt;=$A96)*(Costos!$L$5:$L$88&gt;$A96))</f>
        <v>0</v>
      </c>
      <c r="G96" s="48" t="n">
        <f aca="false">SUMPRODUCT((Costos!$C$5:$C$88=G$4)*Costos!$E$5:$E$88*(Costos!$K$5:$K$88&lt;=$A96)*(Costos!$L$5:$L$88&gt;$A96))</f>
        <v>0</v>
      </c>
      <c r="H96" s="48" t="n">
        <f aca="false">SUMPRODUCT((Costos!$C$5:$C$88=H$4)*Costos!$E$5:$E$88*(Costos!$K$5:$K$88&lt;=$A96)*(Costos!$L$5:$L$88&gt;$A96))</f>
        <v>0</v>
      </c>
      <c r="I96" s="48" t="n">
        <f aca="false">SUMPRODUCT((Costos!$C$5:$C$88=I$4)*Costos!$E$5:$E$88*(Costos!$K$5:$K$88&lt;=$A96)*(Costos!$L$5:$L$88&gt;$A96))</f>
        <v>0</v>
      </c>
      <c r="J96" s="48" t="n">
        <f aca="false">SUMPRODUCT((Costos!$C$5:$C$88=J$4)*Costos!$E$5:$E$88*(Costos!$K$5:$K$88&lt;=$A96)*(Costos!$L$5:$L$88&gt;$A96))</f>
        <v>0</v>
      </c>
      <c r="K96" s="48" t="n">
        <f aca="false">SUMPRODUCT((Costos!$C$5:$C$88=K$4)*Costos!$E$5:$E$88*(Costos!$K$5:$K$88&lt;=$A96)*(Costos!$L$5:$L$88&gt;$A96))</f>
        <v>0</v>
      </c>
      <c r="L96" s="48" t="n">
        <f aca="false">SUMPRODUCT((Costos!$C$5:$C$88=L$4)*Costos!$E$5:$E$88*(Costos!$K$5:$K$88&lt;=$A96)*(Costos!$L$5:$L$88&gt;$A96))</f>
        <v>0</v>
      </c>
      <c r="M96" s="48" t="n">
        <f aca="false">SUMPRODUCT((Costos!$C$5:$C$88=M$4)*Costos!$E$5:$E$88*(Costos!$K$5:$K$88&lt;=$A96)*(Costos!$L$5:$L$88&gt;$A96))</f>
        <v>0</v>
      </c>
      <c r="N96" s="48" t="n">
        <f aca="false">SUMPRODUCT((Costos!$C$5:$C$88=N$4)*Costos!$E$5:$E$88*(Costos!$K$5:$K$88&lt;=$A96)*(Costos!$L$5:$L$88&gt;$A96))</f>
        <v>0</v>
      </c>
    </row>
    <row r="97" customFormat="false" ht="15" hidden="false" customHeight="false" outlineLevel="0" collapsed="false">
      <c r="A97" s="26" t="n">
        <v>92</v>
      </c>
      <c r="B97" s="47" t="n">
        <f aca="false">INDEX(Calendario!$B$3:$B$172,A97+1)</f>
        <v>46436</v>
      </c>
      <c r="C97" s="48" t="n">
        <f aca="false">SUMPRODUCT((Costos!$C$5:$C$88=C$4)*Costos!$E$5:$E$88*(Costos!$K$5:$K$88&lt;=$A97)*(Costos!$L$5:$L$88&gt;$A97))</f>
        <v>0.5</v>
      </c>
      <c r="D97" s="48" t="n">
        <f aca="false">SUMPRODUCT((Costos!$C$5:$C$88=D$4)*Costos!$E$5:$E$88*(Costos!$K$5:$K$88&lt;=$A97)*(Costos!$L$5:$L$88&gt;$A97))</f>
        <v>0</v>
      </c>
      <c r="E97" s="48" t="n">
        <f aca="false">SUMPRODUCT((Costos!$C$5:$C$88=E$4)*Costos!$E$5:$E$88*(Costos!$K$5:$K$88&lt;=$A97)*(Costos!$L$5:$L$88&gt;$A97))</f>
        <v>0</v>
      </c>
      <c r="F97" s="48" t="n">
        <f aca="false">SUMPRODUCT((Costos!$C$5:$C$88=F$4)*Costos!$E$5:$E$88*(Costos!$K$5:$K$88&lt;=$A97)*(Costos!$L$5:$L$88&gt;$A97))</f>
        <v>0</v>
      </c>
      <c r="G97" s="48" t="n">
        <f aca="false">SUMPRODUCT((Costos!$C$5:$C$88=G$4)*Costos!$E$5:$E$88*(Costos!$K$5:$K$88&lt;=$A97)*(Costos!$L$5:$L$88&gt;$A97))</f>
        <v>0</v>
      </c>
      <c r="H97" s="48" t="n">
        <f aca="false">SUMPRODUCT((Costos!$C$5:$C$88=H$4)*Costos!$E$5:$E$88*(Costos!$K$5:$K$88&lt;=$A97)*(Costos!$L$5:$L$88&gt;$A97))</f>
        <v>0</v>
      </c>
      <c r="I97" s="48" t="n">
        <f aca="false">SUMPRODUCT((Costos!$C$5:$C$88=I$4)*Costos!$E$5:$E$88*(Costos!$K$5:$K$88&lt;=$A97)*(Costos!$L$5:$L$88&gt;$A97))</f>
        <v>0</v>
      </c>
      <c r="J97" s="48" t="n">
        <f aca="false">SUMPRODUCT((Costos!$C$5:$C$88=J$4)*Costos!$E$5:$E$88*(Costos!$K$5:$K$88&lt;=$A97)*(Costos!$L$5:$L$88&gt;$A97))</f>
        <v>0</v>
      </c>
      <c r="K97" s="48" t="n">
        <f aca="false">SUMPRODUCT((Costos!$C$5:$C$88=K$4)*Costos!$E$5:$E$88*(Costos!$K$5:$K$88&lt;=$A97)*(Costos!$L$5:$L$88&gt;$A97))</f>
        <v>0</v>
      </c>
      <c r="L97" s="48" t="n">
        <f aca="false">SUMPRODUCT((Costos!$C$5:$C$88=L$4)*Costos!$E$5:$E$88*(Costos!$K$5:$K$88&lt;=$A97)*(Costos!$L$5:$L$88&gt;$A97))</f>
        <v>0</v>
      </c>
      <c r="M97" s="48" t="n">
        <f aca="false">SUMPRODUCT((Costos!$C$5:$C$88=M$4)*Costos!$E$5:$E$88*(Costos!$K$5:$K$88&lt;=$A97)*(Costos!$L$5:$L$88&gt;$A97))</f>
        <v>0</v>
      </c>
      <c r="N97" s="48" t="n">
        <f aca="false">SUMPRODUCT((Costos!$C$5:$C$88=N$4)*Costos!$E$5:$E$88*(Costos!$K$5:$K$88&lt;=$A97)*(Costos!$L$5:$L$88&gt;$A97))</f>
        <v>0</v>
      </c>
    </row>
    <row r="98" customFormat="false" ht="15" hidden="false" customHeight="false" outlineLevel="0" collapsed="false">
      <c r="A98" s="26" t="n">
        <v>93</v>
      </c>
      <c r="B98" s="47" t="n">
        <f aca="false">INDEX(Calendario!$B$3:$B$172,A98+1)</f>
        <v>46437</v>
      </c>
      <c r="C98" s="48" t="n">
        <f aca="false">SUMPRODUCT((Costos!$C$5:$C$88=C$4)*Costos!$E$5:$E$88*(Costos!$K$5:$K$88&lt;=$A98)*(Costos!$L$5:$L$88&gt;$A98))</f>
        <v>0.5</v>
      </c>
      <c r="D98" s="48" t="n">
        <f aca="false">SUMPRODUCT((Costos!$C$5:$C$88=D$4)*Costos!$E$5:$E$88*(Costos!$K$5:$K$88&lt;=$A98)*(Costos!$L$5:$L$88&gt;$A98))</f>
        <v>0</v>
      </c>
      <c r="E98" s="48" t="n">
        <f aca="false">SUMPRODUCT((Costos!$C$5:$C$88=E$4)*Costos!$E$5:$E$88*(Costos!$K$5:$K$88&lt;=$A98)*(Costos!$L$5:$L$88&gt;$A98))</f>
        <v>0</v>
      </c>
      <c r="F98" s="48" t="n">
        <f aca="false">SUMPRODUCT((Costos!$C$5:$C$88=F$4)*Costos!$E$5:$E$88*(Costos!$K$5:$K$88&lt;=$A98)*(Costos!$L$5:$L$88&gt;$A98))</f>
        <v>0</v>
      </c>
      <c r="G98" s="48" t="n">
        <f aca="false">SUMPRODUCT((Costos!$C$5:$C$88=G$4)*Costos!$E$5:$E$88*(Costos!$K$5:$K$88&lt;=$A98)*(Costos!$L$5:$L$88&gt;$A98))</f>
        <v>0</v>
      </c>
      <c r="H98" s="48" t="n">
        <f aca="false">SUMPRODUCT((Costos!$C$5:$C$88=H$4)*Costos!$E$5:$E$88*(Costos!$K$5:$K$88&lt;=$A98)*(Costos!$L$5:$L$88&gt;$A98))</f>
        <v>0</v>
      </c>
      <c r="I98" s="48" t="n">
        <f aca="false">SUMPRODUCT((Costos!$C$5:$C$88=I$4)*Costos!$E$5:$E$88*(Costos!$K$5:$K$88&lt;=$A98)*(Costos!$L$5:$L$88&gt;$A98))</f>
        <v>0</v>
      </c>
      <c r="J98" s="48" t="n">
        <f aca="false">SUMPRODUCT((Costos!$C$5:$C$88=J$4)*Costos!$E$5:$E$88*(Costos!$K$5:$K$88&lt;=$A98)*(Costos!$L$5:$L$88&gt;$A98))</f>
        <v>0</v>
      </c>
      <c r="K98" s="48" t="n">
        <f aca="false">SUMPRODUCT((Costos!$C$5:$C$88=K$4)*Costos!$E$5:$E$88*(Costos!$K$5:$K$88&lt;=$A98)*(Costos!$L$5:$L$88&gt;$A98))</f>
        <v>0</v>
      </c>
      <c r="L98" s="48" t="n">
        <f aca="false">SUMPRODUCT((Costos!$C$5:$C$88=L$4)*Costos!$E$5:$E$88*(Costos!$K$5:$K$88&lt;=$A98)*(Costos!$L$5:$L$88&gt;$A98))</f>
        <v>0</v>
      </c>
      <c r="M98" s="48" t="n">
        <f aca="false">SUMPRODUCT((Costos!$C$5:$C$88=M$4)*Costos!$E$5:$E$88*(Costos!$K$5:$K$88&lt;=$A98)*(Costos!$L$5:$L$88&gt;$A98))</f>
        <v>0</v>
      </c>
      <c r="N98" s="48" t="n">
        <f aca="false">SUMPRODUCT((Costos!$C$5:$C$88=N$4)*Costos!$E$5:$E$88*(Costos!$K$5:$K$88&lt;=$A98)*(Costos!$L$5:$L$88&gt;$A98))</f>
        <v>0</v>
      </c>
    </row>
    <row r="99" customFormat="false" ht="15" hidden="false" customHeight="false" outlineLevel="0" collapsed="false">
      <c r="A99" s="26" t="n">
        <v>94</v>
      </c>
      <c r="B99" s="47" t="n">
        <f aca="false">INDEX(Calendario!$B$3:$B$172,A99+1)</f>
        <v>46440</v>
      </c>
      <c r="C99" s="48" t="n">
        <f aca="false">SUMPRODUCT((Costos!$C$5:$C$88=C$4)*Costos!$E$5:$E$88*(Costos!$K$5:$K$88&lt;=$A99)*(Costos!$L$5:$L$88&gt;$A99))</f>
        <v>0.5</v>
      </c>
      <c r="D99" s="48" t="n">
        <f aca="false">SUMPRODUCT((Costos!$C$5:$C$88=D$4)*Costos!$E$5:$E$88*(Costos!$K$5:$K$88&lt;=$A99)*(Costos!$L$5:$L$88&gt;$A99))</f>
        <v>0</v>
      </c>
      <c r="E99" s="48" t="n">
        <f aca="false">SUMPRODUCT((Costos!$C$5:$C$88=E$4)*Costos!$E$5:$E$88*(Costos!$K$5:$K$88&lt;=$A99)*(Costos!$L$5:$L$88&gt;$A99))</f>
        <v>0</v>
      </c>
      <c r="F99" s="48" t="n">
        <f aca="false">SUMPRODUCT((Costos!$C$5:$C$88=F$4)*Costos!$E$5:$E$88*(Costos!$K$5:$K$88&lt;=$A99)*(Costos!$L$5:$L$88&gt;$A99))</f>
        <v>0</v>
      </c>
      <c r="G99" s="48" t="n">
        <f aca="false">SUMPRODUCT((Costos!$C$5:$C$88=G$4)*Costos!$E$5:$E$88*(Costos!$K$5:$K$88&lt;=$A99)*(Costos!$L$5:$L$88&gt;$A99))</f>
        <v>0</v>
      </c>
      <c r="H99" s="48" t="n">
        <f aca="false">SUMPRODUCT((Costos!$C$5:$C$88=H$4)*Costos!$E$5:$E$88*(Costos!$K$5:$K$88&lt;=$A99)*(Costos!$L$5:$L$88&gt;$A99))</f>
        <v>0</v>
      </c>
      <c r="I99" s="48" t="n">
        <f aca="false">SUMPRODUCT((Costos!$C$5:$C$88=I$4)*Costos!$E$5:$E$88*(Costos!$K$5:$K$88&lt;=$A99)*(Costos!$L$5:$L$88&gt;$A99))</f>
        <v>0</v>
      </c>
      <c r="J99" s="48" t="n">
        <f aca="false">SUMPRODUCT((Costos!$C$5:$C$88=J$4)*Costos!$E$5:$E$88*(Costos!$K$5:$K$88&lt;=$A99)*(Costos!$L$5:$L$88&gt;$A99))</f>
        <v>0</v>
      </c>
      <c r="K99" s="48" t="n">
        <f aca="false">SUMPRODUCT((Costos!$C$5:$C$88=K$4)*Costos!$E$5:$E$88*(Costos!$K$5:$K$88&lt;=$A99)*(Costos!$L$5:$L$88&gt;$A99))</f>
        <v>0</v>
      </c>
      <c r="L99" s="48" t="n">
        <f aca="false">SUMPRODUCT((Costos!$C$5:$C$88=L$4)*Costos!$E$5:$E$88*(Costos!$K$5:$K$88&lt;=$A99)*(Costos!$L$5:$L$88&gt;$A99))</f>
        <v>0</v>
      </c>
      <c r="M99" s="48" t="n">
        <f aca="false">SUMPRODUCT((Costos!$C$5:$C$88=M$4)*Costos!$E$5:$E$88*(Costos!$K$5:$K$88&lt;=$A99)*(Costos!$L$5:$L$88&gt;$A99))</f>
        <v>0</v>
      </c>
      <c r="N99" s="48" t="n">
        <f aca="false">SUMPRODUCT((Costos!$C$5:$C$88=N$4)*Costos!$E$5:$E$88*(Costos!$K$5:$K$88&lt;=$A99)*(Costos!$L$5:$L$88&gt;$A99))</f>
        <v>0</v>
      </c>
    </row>
    <row r="100" customFormat="false" ht="15" hidden="false" customHeight="false" outlineLevel="0" collapsed="false">
      <c r="A100" s="26" t="n">
        <v>95</v>
      </c>
      <c r="B100" s="47" t="n">
        <f aca="false">INDEX(Calendario!$B$3:$B$172,A100+1)</f>
        <v>46441</v>
      </c>
      <c r="C100" s="48" t="n">
        <f aca="false">SUMPRODUCT((Costos!$C$5:$C$88=C$4)*Costos!$E$5:$E$88*(Costos!$K$5:$K$88&lt;=$A100)*(Costos!$L$5:$L$88&gt;$A100))</f>
        <v>0.5</v>
      </c>
      <c r="D100" s="48" t="n">
        <f aca="false">SUMPRODUCT((Costos!$C$5:$C$88=D$4)*Costos!$E$5:$E$88*(Costos!$K$5:$K$88&lt;=$A100)*(Costos!$L$5:$L$88&gt;$A100))</f>
        <v>0</v>
      </c>
      <c r="E100" s="48" t="n">
        <f aca="false">SUMPRODUCT((Costos!$C$5:$C$88=E$4)*Costos!$E$5:$E$88*(Costos!$K$5:$K$88&lt;=$A100)*(Costos!$L$5:$L$88&gt;$A100))</f>
        <v>0</v>
      </c>
      <c r="F100" s="48" t="n">
        <f aca="false">SUMPRODUCT((Costos!$C$5:$C$88=F$4)*Costos!$E$5:$E$88*(Costos!$K$5:$K$88&lt;=$A100)*(Costos!$L$5:$L$88&gt;$A100))</f>
        <v>0</v>
      </c>
      <c r="G100" s="48" t="n">
        <f aca="false">SUMPRODUCT((Costos!$C$5:$C$88=G$4)*Costos!$E$5:$E$88*(Costos!$K$5:$K$88&lt;=$A100)*(Costos!$L$5:$L$88&gt;$A100))</f>
        <v>0</v>
      </c>
      <c r="H100" s="48" t="n">
        <f aca="false">SUMPRODUCT((Costos!$C$5:$C$88=H$4)*Costos!$E$5:$E$88*(Costos!$K$5:$K$88&lt;=$A100)*(Costos!$L$5:$L$88&gt;$A100))</f>
        <v>0</v>
      </c>
      <c r="I100" s="48" t="n">
        <f aca="false">SUMPRODUCT((Costos!$C$5:$C$88=I$4)*Costos!$E$5:$E$88*(Costos!$K$5:$K$88&lt;=$A100)*(Costos!$L$5:$L$88&gt;$A100))</f>
        <v>0</v>
      </c>
      <c r="J100" s="48" t="n">
        <f aca="false">SUMPRODUCT((Costos!$C$5:$C$88=J$4)*Costos!$E$5:$E$88*(Costos!$K$5:$K$88&lt;=$A100)*(Costos!$L$5:$L$88&gt;$A100))</f>
        <v>0</v>
      </c>
      <c r="K100" s="48" t="n">
        <f aca="false">SUMPRODUCT((Costos!$C$5:$C$88=K$4)*Costos!$E$5:$E$88*(Costos!$K$5:$K$88&lt;=$A100)*(Costos!$L$5:$L$88&gt;$A100))</f>
        <v>0</v>
      </c>
      <c r="L100" s="48" t="n">
        <f aca="false">SUMPRODUCT((Costos!$C$5:$C$88=L$4)*Costos!$E$5:$E$88*(Costos!$K$5:$K$88&lt;=$A100)*(Costos!$L$5:$L$88&gt;$A100))</f>
        <v>0</v>
      </c>
      <c r="M100" s="48" t="n">
        <f aca="false">SUMPRODUCT((Costos!$C$5:$C$88=M$4)*Costos!$E$5:$E$88*(Costos!$K$5:$K$88&lt;=$A100)*(Costos!$L$5:$L$88&gt;$A100))</f>
        <v>0</v>
      </c>
      <c r="N100" s="48" t="n">
        <f aca="false">SUMPRODUCT((Costos!$C$5:$C$88=N$4)*Costos!$E$5:$E$88*(Costos!$K$5:$K$88&lt;=$A100)*(Costos!$L$5:$L$88&gt;$A100))</f>
        <v>0</v>
      </c>
    </row>
    <row r="101" customFormat="false" ht="15" hidden="false" customHeight="false" outlineLevel="0" collapsed="false">
      <c r="A101" s="26" t="n">
        <v>96</v>
      </c>
      <c r="B101" s="47" t="n">
        <f aca="false">INDEX(Calendario!$B$3:$B$172,A101+1)</f>
        <v>46442</v>
      </c>
      <c r="C101" s="48" t="n">
        <f aca="false">SUMPRODUCT((Costos!$C$5:$C$88=C$4)*Costos!$E$5:$E$88*(Costos!$K$5:$K$88&lt;=$A101)*(Costos!$L$5:$L$88&gt;$A101))</f>
        <v>0.5</v>
      </c>
      <c r="D101" s="48" t="n">
        <f aca="false">SUMPRODUCT((Costos!$C$5:$C$88=D$4)*Costos!$E$5:$E$88*(Costos!$K$5:$K$88&lt;=$A101)*(Costos!$L$5:$L$88&gt;$A101))</f>
        <v>0</v>
      </c>
      <c r="E101" s="48" t="n">
        <f aca="false">SUMPRODUCT((Costos!$C$5:$C$88=E$4)*Costos!$E$5:$E$88*(Costos!$K$5:$K$88&lt;=$A101)*(Costos!$L$5:$L$88&gt;$A101))</f>
        <v>0</v>
      </c>
      <c r="F101" s="48" t="n">
        <f aca="false">SUMPRODUCT((Costos!$C$5:$C$88=F$4)*Costos!$E$5:$E$88*(Costos!$K$5:$K$88&lt;=$A101)*(Costos!$L$5:$L$88&gt;$A101))</f>
        <v>0</v>
      </c>
      <c r="G101" s="48" t="n">
        <f aca="false">SUMPRODUCT((Costos!$C$5:$C$88=G$4)*Costos!$E$5:$E$88*(Costos!$K$5:$K$88&lt;=$A101)*(Costos!$L$5:$L$88&gt;$A101))</f>
        <v>0</v>
      </c>
      <c r="H101" s="48" t="n">
        <f aca="false">SUMPRODUCT((Costos!$C$5:$C$88=H$4)*Costos!$E$5:$E$88*(Costos!$K$5:$K$88&lt;=$A101)*(Costos!$L$5:$L$88&gt;$A101))</f>
        <v>0</v>
      </c>
      <c r="I101" s="48" t="n">
        <f aca="false">SUMPRODUCT((Costos!$C$5:$C$88=I$4)*Costos!$E$5:$E$88*(Costos!$K$5:$K$88&lt;=$A101)*(Costos!$L$5:$L$88&gt;$A101))</f>
        <v>0</v>
      </c>
      <c r="J101" s="48" t="n">
        <f aca="false">SUMPRODUCT((Costos!$C$5:$C$88=J$4)*Costos!$E$5:$E$88*(Costos!$K$5:$K$88&lt;=$A101)*(Costos!$L$5:$L$88&gt;$A101))</f>
        <v>0</v>
      </c>
      <c r="K101" s="48" t="n">
        <f aca="false">SUMPRODUCT((Costos!$C$5:$C$88=K$4)*Costos!$E$5:$E$88*(Costos!$K$5:$K$88&lt;=$A101)*(Costos!$L$5:$L$88&gt;$A101))</f>
        <v>0</v>
      </c>
      <c r="L101" s="48" t="n">
        <f aca="false">SUMPRODUCT((Costos!$C$5:$C$88=L$4)*Costos!$E$5:$E$88*(Costos!$K$5:$K$88&lt;=$A101)*(Costos!$L$5:$L$88&gt;$A101))</f>
        <v>0</v>
      </c>
      <c r="M101" s="48" t="n">
        <f aca="false">SUMPRODUCT((Costos!$C$5:$C$88=M$4)*Costos!$E$5:$E$88*(Costos!$K$5:$K$88&lt;=$A101)*(Costos!$L$5:$L$88&gt;$A101))</f>
        <v>0</v>
      </c>
      <c r="N101" s="48" t="n">
        <f aca="false">SUMPRODUCT((Costos!$C$5:$C$88=N$4)*Costos!$E$5:$E$88*(Costos!$K$5:$K$88&lt;=$A101)*(Costos!$L$5:$L$88&gt;$A101))</f>
        <v>0</v>
      </c>
    </row>
    <row r="102" customFormat="false" ht="15" hidden="false" customHeight="false" outlineLevel="0" collapsed="false">
      <c r="A102" s="26" t="n">
        <v>97</v>
      </c>
      <c r="B102" s="47" t="n">
        <f aca="false">INDEX(Calendario!$B$3:$B$172,A102+1)</f>
        <v>46443</v>
      </c>
      <c r="C102" s="48" t="n">
        <f aca="false">SUMPRODUCT((Costos!$C$5:$C$88=C$4)*Costos!$E$5:$E$88*(Costos!$K$5:$K$88&lt;=$A102)*(Costos!$L$5:$L$88&gt;$A102))</f>
        <v>0.5</v>
      </c>
      <c r="D102" s="48" t="n">
        <f aca="false">SUMPRODUCT((Costos!$C$5:$C$88=D$4)*Costos!$E$5:$E$88*(Costos!$K$5:$K$88&lt;=$A102)*(Costos!$L$5:$L$88&gt;$A102))</f>
        <v>0</v>
      </c>
      <c r="E102" s="48" t="n">
        <f aca="false">SUMPRODUCT((Costos!$C$5:$C$88=E$4)*Costos!$E$5:$E$88*(Costos!$K$5:$K$88&lt;=$A102)*(Costos!$L$5:$L$88&gt;$A102))</f>
        <v>0</v>
      </c>
      <c r="F102" s="48" t="n">
        <f aca="false">SUMPRODUCT((Costos!$C$5:$C$88=F$4)*Costos!$E$5:$E$88*(Costos!$K$5:$K$88&lt;=$A102)*(Costos!$L$5:$L$88&gt;$A102))</f>
        <v>0</v>
      </c>
      <c r="G102" s="48" t="n">
        <f aca="false">SUMPRODUCT((Costos!$C$5:$C$88=G$4)*Costos!$E$5:$E$88*(Costos!$K$5:$K$88&lt;=$A102)*(Costos!$L$5:$L$88&gt;$A102))</f>
        <v>0</v>
      </c>
      <c r="H102" s="48" t="n">
        <f aca="false">SUMPRODUCT((Costos!$C$5:$C$88=H$4)*Costos!$E$5:$E$88*(Costos!$K$5:$K$88&lt;=$A102)*(Costos!$L$5:$L$88&gt;$A102))</f>
        <v>0</v>
      </c>
      <c r="I102" s="48" t="n">
        <f aca="false">SUMPRODUCT((Costos!$C$5:$C$88=I$4)*Costos!$E$5:$E$88*(Costos!$K$5:$K$88&lt;=$A102)*(Costos!$L$5:$L$88&gt;$A102))</f>
        <v>0</v>
      </c>
      <c r="J102" s="48" t="n">
        <f aca="false">SUMPRODUCT((Costos!$C$5:$C$88=J$4)*Costos!$E$5:$E$88*(Costos!$K$5:$K$88&lt;=$A102)*(Costos!$L$5:$L$88&gt;$A102))</f>
        <v>0</v>
      </c>
      <c r="K102" s="48" t="n">
        <f aca="false">SUMPRODUCT((Costos!$C$5:$C$88=K$4)*Costos!$E$5:$E$88*(Costos!$K$5:$K$88&lt;=$A102)*(Costos!$L$5:$L$88&gt;$A102))</f>
        <v>0</v>
      </c>
      <c r="L102" s="48" t="n">
        <f aca="false">SUMPRODUCT((Costos!$C$5:$C$88=L$4)*Costos!$E$5:$E$88*(Costos!$K$5:$K$88&lt;=$A102)*(Costos!$L$5:$L$88&gt;$A102))</f>
        <v>0</v>
      </c>
      <c r="M102" s="48" t="n">
        <f aca="false">SUMPRODUCT((Costos!$C$5:$C$88=M$4)*Costos!$E$5:$E$88*(Costos!$K$5:$K$88&lt;=$A102)*(Costos!$L$5:$L$88&gt;$A102))</f>
        <v>0</v>
      </c>
      <c r="N102" s="48" t="n">
        <f aca="false">SUMPRODUCT((Costos!$C$5:$C$88=N$4)*Costos!$E$5:$E$88*(Costos!$K$5:$K$88&lt;=$A102)*(Costos!$L$5:$L$88&gt;$A102))</f>
        <v>0</v>
      </c>
    </row>
    <row r="103" customFormat="false" ht="15" hidden="false" customHeight="false" outlineLevel="0" collapsed="false">
      <c r="A103" s="26" t="n">
        <v>98</v>
      </c>
      <c r="B103" s="47" t="n">
        <f aca="false">INDEX(Calendario!$B$3:$B$172,A103+1)</f>
        <v>46444</v>
      </c>
      <c r="C103" s="48" t="n">
        <f aca="false">SUMPRODUCT((Costos!$C$5:$C$88=C$4)*Costos!$E$5:$E$88*(Costos!$K$5:$K$88&lt;=$A103)*(Costos!$L$5:$L$88&gt;$A103))</f>
        <v>0.5</v>
      </c>
      <c r="D103" s="48" t="n">
        <f aca="false">SUMPRODUCT((Costos!$C$5:$C$88=D$4)*Costos!$E$5:$E$88*(Costos!$K$5:$K$88&lt;=$A103)*(Costos!$L$5:$L$88&gt;$A103))</f>
        <v>0</v>
      </c>
      <c r="E103" s="48" t="n">
        <f aca="false">SUMPRODUCT((Costos!$C$5:$C$88=E$4)*Costos!$E$5:$E$88*(Costos!$K$5:$K$88&lt;=$A103)*(Costos!$L$5:$L$88&gt;$A103))</f>
        <v>0</v>
      </c>
      <c r="F103" s="48" t="n">
        <f aca="false">SUMPRODUCT((Costos!$C$5:$C$88=F$4)*Costos!$E$5:$E$88*(Costos!$K$5:$K$88&lt;=$A103)*(Costos!$L$5:$L$88&gt;$A103))</f>
        <v>0</v>
      </c>
      <c r="G103" s="48" t="n">
        <f aca="false">SUMPRODUCT((Costos!$C$5:$C$88=G$4)*Costos!$E$5:$E$88*(Costos!$K$5:$K$88&lt;=$A103)*(Costos!$L$5:$L$88&gt;$A103))</f>
        <v>0</v>
      </c>
      <c r="H103" s="48" t="n">
        <f aca="false">SUMPRODUCT((Costos!$C$5:$C$88=H$4)*Costos!$E$5:$E$88*(Costos!$K$5:$K$88&lt;=$A103)*(Costos!$L$5:$L$88&gt;$A103))</f>
        <v>0</v>
      </c>
      <c r="I103" s="48" t="n">
        <f aca="false">SUMPRODUCT((Costos!$C$5:$C$88=I$4)*Costos!$E$5:$E$88*(Costos!$K$5:$K$88&lt;=$A103)*(Costos!$L$5:$L$88&gt;$A103))</f>
        <v>0</v>
      </c>
      <c r="J103" s="48" t="n">
        <f aca="false">SUMPRODUCT((Costos!$C$5:$C$88=J$4)*Costos!$E$5:$E$88*(Costos!$K$5:$K$88&lt;=$A103)*(Costos!$L$5:$L$88&gt;$A103))</f>
        <v>0</v>
      </c>
      <c r="K103" s="48" t="n">
        <f aca="false">SUMPRODUCT((Costos!$C$5:$C$88=K$4)*Costos!$E$5:$E$88*(Costos!$K$5:$K$88&lt;=$A103)*(Costos!$L$5:$L$88&gt;$A103))</f>
        <v>0</v>
      </c>
      <c r="L103" s="48" t="n">
        <f aca="false">SUMPRODUCT((Costos!$C$5:$C$88=L$4)*Costos!$E$5:$E$88*(Costos!$K$5:$K$88&lt;=$A103)*(Costos!$L$5:$L$88&gt;$A103))</f>
        <v>0</v>
      </c>
      <c r="M103" s="48" t="n">
        <f aca="false">SUMPRODUCT((Costos!$C$5:$C$88=M$4)*Costos!$E$5:$E$88*(Costos!$K$5:$K$88&lt;=$A103)*(Costos!$L$5:$L$88&gt;$A103))</f>
        <v>0</v>
      </c>
      <c r="N103" s="48" t="n">
        <f aca="false">SUMPRODUCT((Costos!$C$5:$C$88=N$4)*Costos!$E$5:$E$88*(Costos!$K$5:$K$88&lt;=$A103)*(Costos!$L$5:$L$88&gt;$A103))</f>
        <v>0</v>
      </c>
    </row>
    <row r="104" customFormat="false" ht="15" hidden="false" customHeight="false" outlineLevel="0" collapsed="false">
      <c r="A104" s="26" t="n">
        <v>99</v>
      </c>
      <c r="B104" s="47" t="n">
        <f aca="false">INDEX(Calendario!$B$3:$B$172,A104+1)</f>
        <v>46447</v>
      </c>
      <c r="C104" s="48" t="n">
        <f aca="false">SUMPRODUCT((Costos!$C$5:$C$88=C$4)*Costos!$E$5:$E$88*(Costos!$K$5:$K$88&lt;=$A104)*(Costos!$L$5:$L$88&gt;$A104))</f>
        <v>0.5</v>
      </c>
      <c r="D104" s="48" t="n">
        <f aca="false">SUMPRODUCT((Costos!$C$5:$C$88=D$4)*Costos!$E$5:$E$88*(Costos!$K$5:$K$88&lt;=$A104)*(Costos!$L$5:$L$88&gt;$A104))</f>
        <v>0</v>
      </c>
      <c r="E104" s="48" t="n">
        <f aca="false">SUMPRODUCT((Costos!$C$5:$C$88=E$4)*Costos!$E$5:$E$88*(Costos!$K$5:$K$88&lt;=$A104)*(Costos!$L$5:$L$88&gt;$A104))</f>
        <v>0</v>
      </c>
      <c r="F104" s="48" t="n">
        <f aca="false">SUMPRODUCT((Costos!$C$5:$C$88=F$4)*Costos!$E$5:$E$88*(Costos!$K$5:$K$88&lt;=$A104)*(Costos!$L$5:$L$88&gt;$A104))</f>
        <v>0</v>
      </c>
      <c r="G104" s="48" t="n">
        <f aca="false">SUMPRODUCT((Costos!$C$5:$C$88=G$4)*Costos!$E$5:$E$88*(Costos!$K$5:$K$88&lt;=$A104)*(Costos!$L$5:$L$88&gt;$A104))</f>
        <v>0</v>
      </c>
      <c r="H104" s="48" t="n">
        <f aca="false">SUMPRODUCT((Costos!$C$5:$C$88=H$4)*Costos!$E$5:$E$88*(Costos!$K$5:$K$88&lt;=$A104)*(Costos!$L$5:$L$88&gt;$A104))</f>
        <v>0</v>
      </c>
      <c r="I104" s="48" t="n">
        <f aca="false">SUMPRODUCT((Costos!$C$5:$C$88=I$4)*Costos!$E$5:$E$88*(Costos!$K$5:$K$88&lt;=$A104)*(Costos!$L$5:$L$88&gt;$A104))</f>
        <v>0</v>
      </c>
      <c r="J104" s="48" t="n">
        <f aca="false">SUMPRODUCT((Costos!$C$5:$C$88=J$4)*Costos!$E$5:$E$88*(Costos!$K$5:$K$88&lt;=$A104)*(Costos!$L$5:$L$88&gt;$A104))</f>
        <v>1</v>
      </c>
      <c r="K104" s="48" t="n">
        <f aca="false">SUMPRODUCT((Costos!$C$5:$C$88=K$4)*Costos!$E$5:$E$88*(Costos!$K$5:$K$88&lt;=$A104)*(Costos!$L$5:$L$88&gt;$A104))</f>
        <v>0</v>
      </c>
      <c r="L104" s="48" t="n">
        <f aca="false">SUMPRODUCT((Costos!$C$5:$C$88=L$4)*Costos!$E$5:$E$88*(Costos!$K$5:$K$88&lt;=$A104)*(Costos!$L$5:$L$88&gt;$A104))</f>
        <v>0</v>
      </c>
      <c r="M104" s="48" t="n">
        <f aca="false">SUMPRODUCT((Costos!$C$5:$C$88=M$4)*Costos!$E$5:$E$88*(Costos!$K$5:$K$88&lt;=$A104)*(Costos!$L$5:$L$88&gt;$A104))</f>
        <v>0.5</v>
      </c>
      <c r="N104" s="48" t="n">
        <f aca="false">SUMPRODUCT((Costos!$C$5:$C$88=N$4)*Costos!$E$5:$E$88*(Costos!$K$5:$K$88&lt;=$A104)*(Costos!$L$5:$L$88&gt;$A104))</f>
        <v>0</v>
      </c>
    </row>
    <row r="105" customFormat="false" ht="15" hidden="false" customHeight="false" outlineLevel="0" collapsed="false">
      <c r="A105" s="26" t="n">
        <v>100</v>
      </c>
      <c r="B105" s="47" t="n">
        <f aca="false">INDEX(Calendario!$B$3:$B$172,A105+1)</f>
        <v>46448</v>
      </c>
      <c r="C105" s="48" t="n">
        <f aca="false">SUMPRODUCT((Costos!$C$5:$C$88=C$4)*Costos!$E$5:$E$88*(Costos!$K$5:$K$88&lt;=$A105)*(Costos!$L$5:$L$88&gt;$A105))</f>
        <v>0.5</v>
      </c>
      <c r="D105" s="48" t="n">
        <f aca="false">SUMPRODUCT((Costos!$C$5:$C$88=D$4)*Costos!$E$5:$E$88*(Costos!$K$5:$K$88&lt;=$A105)*(Costos!$L$5:$L$88&gt;$A105))</f>
        <v>0</v>
      </c>
      <c r="E105" s="48" t="n">
        <f aca="false">SUMPRODUCT((Costos!$C$5:$C$88=E$4)*Costos!$E$5:$E$88*(Costos!$K$5:$K$88&lt;=$A105)*(Costos!$L$5:$L$88&gt;$A105))</f>
        <v>0</v>
      </c>
      <c r="F105" s="48" t="n">
        <f aca="false">SUMPRODUCT((Costos!$C$5:$C$88=F$4)*Costos!$E$5:$E$88*(Costos!$K$5:$K$88&lt;=$A105)*(Costos!$L$5:$L$88&gt;$A105))</f>
        <v>0</v>
      </c>
      <c r="G105" s="48" t="n">
        <f aca="false">SUMPRODUCT((Costos!$C$5:$C$88=G$4)*Costos!$E$5:$E$88*(Costos!$K$5:$K$88&lt;=$A105)*(Costos!$L$5:$L$88&gt;$A105))</f>
        <v>0</v>
      </c>
      <c r="H105" s="48" t="n">
        <f aca="false">SUMPRODUCT((Costos!$C$5:$C$88=H$4)*Costos!$E$5:$E$88*(Costos!$K$5:$K$88&lt;=$A105)*(Costos!$L$5:$L$88&gt;$A105))</f>
        <v>0</v>
      </c>
      <c r="I105" s="48" t="n">
        <f aca="false">SUMPRODUCT((Costos!$C$5:$C$88=I$4)*Costos!$E$5:$E$88*(Costos!$K$5:$K$88&lt;=$A105)*(Costos!$L$5:$L$88&gt;$A105))</f>
        <v>0</v>
      </c>
      <c r="J105" s="48" t="n">
        <f aca="false">SUMPRODUCT((Costos!$C$5:$C$88=J$4)*Costos!$E$5:$E$88*(Costos!$K$5:$K$88&lt;=$A105)*(Costos!$L$5:$L$88&gt;$A105))</f>
        <v>1</v>
      </c>
      <c r="K105" s="48" t="n">
        <f aca="false">SUMPRODUCT((Costos!$C$5:$C$88=K$4)*Costos!$E$5:$E$88*(Costos!$K$5:$K$88&lt;=$A105)*(Costos!$L$5:$L$88&gt;$A105))</f>
        <v>0</v>
      </c>
      <c r="L105" s="48" t="n">
        <f aca="false">SUMPRODUCT((Costos!$C$5:$C$88=L$4)*Costos!$E$5:$E$88*(Costos!$K$5:$K$88&lt;=$A105)*(Costos!$L$5:$L$88&gt;$A105))</f>
        <v>0</v>
      </c>
      <c r="M105" s="48" t="n">
        <f aca="false">SUMPRODUCT((Costos!$C$5:$C$88=M$4)*Costos!$E$5:$E$88*(Costos!$K$5:$K$88&lt;=$A105)*(Costos!$L$5:$L$88&gt;$A105))</f>
        <v>0.5</v>
      </c>
      <c r="N105" s="48" t="n">
        <f aca="false">SUMPRODUCT((Costos!$C$5:$C$88=N$4)*Costos!$E$5:$E$88*(Costos!$K$5:$K$88&lt;=$A105)*(Costos!$L$5:$L$88&gt;$A105))</f>
        <v>0</v>
      </c>
    </row>
    <row r="106" customFormat="false" ht="15" hidden="false" customHeight="false" outlineLevel="0" collapsed="false">
      <c r="A106" s="26" t="n">
        <v>101</v>
      </c>
      <c r="B106" s="47" t="n">
        <f aca="false">INDEX(Calendario!$B$3:$B$172,A106+1)</f>
        <v>46449</v>
      </c>
      <c r="C106" s="48" t="n">
        <f aca="false">SUMPRODUCT((Costos!$C$5:$C$88=C$4)*Costos!$E$5:$E$88*(Costos!$K$5:$K$88&lt;=$A106)*(Costos!$L$5:$L$88&gt;$A106))</f>
        <v>0.5</v>
      </c>
      <c r="D106" s="48" t="n">
        <f aca="false">SUMPRODUCT((Costos!$C$5:$C$88=D$4)*Costos!$E$5:$E$88*(Costos!$K$5:$K$88&lt;=$A106)*(Costos!$L$5:$L$88&gt;$A106))</f>
        <v>0</v>
      </c>
      <c r="E106" s="48" t="n">
        <f aca="false">SUMPRODUCT((Costos!$C$5:$C$88=E$4)*Costos!$E$5:$E$88*(Costos!$K$5:$K$88&lt;=$A106)*(Costos!$L$5:$L$88&gt;$A106))</f>
        <v>0</v>
      </c>
      <c r="F106" s="48" t="n">
        <f aca="false">SUMPRODUCT((Costos!$C$5:$C$88=F$4)*Costos!$E$5:$E$88*(Costos!$K$5:$K$88&lt;=$A106)*(Costos!$L$5:$L$88&gt;$A106))</f>
        <v>0</v>
      </c>
      <c r="G106" s="48" t="n">
        <f aca="false">SUMPRODUCT((Costos!$C$5:$C$88=G$4)*Costos!$E$5:$E$88*(Costos!$K$5:$K$88&lt;=$A106)*(Costos!$L$5:$L$88&gt;$A106))</f>
        <v>0</v>
      </c>
      <c r="H106" s="48" t="n">
        <f aca="false">SUMPRODUCT((Costos!$C$5:$C$88=H$4)*Costos!$E$5:$E$88*(Costos!$K$5:$K$88&lt;=$A106)*(Costos!$L$5:$L$88&gt;$A106))</f>
        <v>0</v>
      </c>
      <c r="I106" s="48" t="n">
        <f aca="false">SUMPRODUCT((Costos!$C$5:$C$88=I$4)*Costos!$E$5:$E$88*(Costos!$K$5:$K$88&lt;=$A106)*(Costos!$L$5:$L$88&gt;$A106))</f>
        <v>0</v>
      </c>
      <c r="J106" s="48" t="n">
        <f aca="false">SUMPRODUCT((Costos!$C$5:$C$88=J$4)*Costos!$E$5:$E$88*(Costos!$K$5:$K$88&lt;=$A106)*(Costos!$L$5:$L$88&gt;$A106))</f>
        <v>1</v>
      </c>
      <c r="K106" s="48" t="n">
        <f aca="false">SUMPRODUCT((Costos!$C$5:$C$88=K$4)*Costos!$E$5:$E$88*(Costos!$K$5:$K$88&lt;=$A106)*(Costos!$L$5:$L$88&gt;$A106))</f>
        <v>0</v>
      </c>
      <c r="L106" s="48" t="n">
        <f aca="false">SUMPRODUCT((Costos!$C$5:$C$88=L$4)*Costos!$E$5:$E$88*(Costos!$K$5:$K$88&lt;=$A106)*(Costos!$L$5:$L$88&gt;$A106))</f>
        <v>0</v>
      </c>
      <c r="M106" s="48" t="n">
        <f aca="false">SUMPRODUCT((Costos!$C$5:$C$88=M$4)*Costos!$E$5:$E$88*(Costos!$K$5:$K$88&lt;=$A106)*(Costos!$L$5:$L$88&gt;$A106))</f>
        <v>0.5</v>
      </c>
      <c r="N106" s="48" t="n">
        <f aca="false">SUMPRODUCT((Costos!$C$5:$C$88=N$4)*Costos!$E$5:$E$88*(Costos!$K$5:$K$88&lt;=$A106)*(Costos!$L$5:$L$88&gt;$A106))</f>
        <v>0</v>
      </c>
    </row>
    <row r="107" customFormat="false" ht="15" hidden="false" customHeight="false" outlineLevel="0" collapsed="false">
      <c r="A107" s="26" t="n">
        <v>102</v>
      </c>
      <c r="B107" s="47" t="n">
        <f aca="false">INDEX(Calendario!$B$3:$B$172,A107+1)</f>
        <v>46450</v>
      </c>
      <c r="C107" s="48" t="n">
        <f aca="false">SUMPRODUCT((Costos!$C$5:$C$88=C$4)*Costos!$E$5:$E$88*(Costos!$K$5:$K$88&lt;=$A107)*(Costos!$L$5:$L$88&gt;$A107))</f>
        <v>0.5</v>
      </c>
      <c r="D107" s="48" t="n">
        <f aca="false">SUMPRODUCT((Costos!$C$5:$C$88=D$4)*Costos!$E$5:$E$88*(Costos!$K$5:$K$88&lt;=$A107)*(Costos!$L$5:$L$88&gt;$A107))</f>
        <v>0</v>
      </c>
      <c r="E107" s="48" t="n">
        <f aca="false">SUMPRODUCT((Costos!$C$5:$C$88=E$4)*Costos!$E$5:$E$88*(Costos!$K$5:$K$88&lt;=$A107)*(Costos!$L$5:$L$88&gt;$A107))</f>
        <v>0</v>
      </c>
      <c r="F107" s="48" t="n">
        <f aca="false">SUMPRODUCT((Costos!$C$5:$C$88=F$4)*Costos!$E$5:$E$88*(Costos!$K$5:$K$88&lt;=$A107)*(Costos!$L$5:$L$88&gt;$A107))</f>
        <v>0</v>
      </c>
      <c r="G107" s="48" t="n">
        <f aca="false">SUMPRODUCT((Costos!$C$5:$C$88=G$4)*Costos!$E$5:$E$88*(Costos!$K$5:$K$88&lt;=$A107)*(Costos!$L$5:$L$88&gt;$A107))</f>
        <v>0</v>
      </c>
      <c r="H107" s="48" t="n">
        <f aca="false">SUMPRODUCT((Costos!$C$5:$C$88=H$4)*Costos!$E$5:$E$88*(Costos!$K$5:$K$88&lt;=$A107)*(Costos!$L$5:$L$88&gt;$A107))</f>
        <v>0</v>
      </c>
      <c r="I107" s="48" t="n">
        <f aca="false">SUMPRODUCT((Costos!$C$5:$C$88=I$4)*Costos!$E$5:$E$88*(Costos!$K$5:$K$88&lt;=$A107)*(Costos!$L$5:$L$88&gt;$A107))</f>
        <v>0</v>
      </c>
      <c r="J107" s="48" t="n">
        <f aca="false">SUMPRODUCT((Costos!$C$5:$C$88=J$4)*Costos!$E$5:$E$88*(Costos!$K$5:$K$88&lt;=$A107)*(Costos!$L$5:$L$88&gt;$A107))</f>
        <v>1</v>
      </c>
      <c r="K107" s="48" t="n">
        <f aca="false">SUMPRODUCT((Costos!$C$5:$C$88=K$4)*Costos!$E$5:$E$88*(Costos!$K$5:$K$88&lt;=$A107)*(Costos!$L$5:$L$88&gt;$A107))</f>
        <v>0</v>
      </c>
      <c r="L107" s="48" t="n">
        <f aca="false">SUMPRODUCT((Costos!$C$5:$C$88=L$4)*Costos!$E$5:$E$88*(Costos!$K$5:$K$88&lt;=$A107)*(Costos!$L$5:$L$88&gt;$A107))</f>
        <v>0</v>
      </c>
      <c r="M107" s="48" t="n">
        <f aca="false">SUMPRODUCT((Costos!$C$5:$C$88=M$4)*Costos!$E$5:$E$88*(Costos!$K$5:$K$88&lt;=$A107)*(Costos!$L$5:$L$88&gt;$A107))</f>
        <v>0.5</v>
      </c>
      <c r="N107" s="48" t="n">
        <f aca="false">SUMPRODUCT((Costos!$C$5:$C$88=N$4)*Costos!$E$5:$E$88*(Costos!$K$5:$K$88&lt;=$A107)*(Costos!$L$5:$L$88&gt;$A107))</f>
        <v>0</v>
      </c>
    </row>
    <row r="108" customFormat="false" ht="15" hidden="false" customHeight="false" outlineLevel="0" collapsed="false">
      <c r="A108" s="26" t="n">
        <v>103</v>
      </c>
      <c r="B108" s="47" t="n">
        <f aca="false">INDEX(Calendario!$B$3:$B$172,A108+1)</f>
        <v>46451</v>
      </c>
      <c r="C108" s="48" t="n">
        <f aca="false">SUMPRODUCT((Costos!$C$5:$C$88=C$4)*Costos!$E$5:$E$88*(Costos!$K$5:$K$88&lt;=$A108)*(Costos!$L$5:$L$88&gt;$A108))</f>
        <v>0.5</v>
      </c>
      <c r="D108" s="48" t="n">
        <f aca="false">SUMPRODUCT((Costos!$C$5:$C$88=D$4)*Costos!$E$5:$E$88*(Costos!$K$5:$K$88&lt;=$A108)*(Costos!$L$5:$L$88&gt;$A108))</f>
        <v>0</v>
      </c>
      <c r="E108" s="48" t="n">
        <f aca="false">SUMPRODUCT((Costos!$C$5:$C$88=E$4)*Costos!$E$5:$E$88*(Costos!$K$5:$K$88&lt;=$A108)*(Costos!$L$5:$L$88&gt;$A108))</f>
        <v>0</v>
      </c>
      <c r="F108" s="48" t="n">
        <f aca="false">SUMPRODUCT((Costos!$C$5:$C$88=F$4)*Costos!$E$5:$E$88*(Costos!$K$5:$K$88&lt;=$A108)*(Costos!$L$5:$L$88&gt;$A108))</f>
        <v>0</v>
      </c>
      <c r="G108" s="48" t="n">
        <f aca="false">SUMPRODUCT((Costos!$C$5:$C$88=G$4)*Costos!$E$5:$E$88*(Costos!$K$5:$K$88&lt;=$A108)*(Costos!$L$5:$L$88&gt;$A108))</f>
        <v>0</v>
      </c>
      <c r="H108" s="48" t="n">
        <f aca="false">SUMPRODUCT((Costos!$C$5:$C$88=H$4)*Costos!$E$5:$E$88*(Costos!$K$5:$K$88&lt;=$A108)*(Costos!$L$5:$L$88&gt;$A108))</f>
        <v>0</v>
      </c>
      <c r="I108" s="48" t="n">
        <f aca="false">SUMPRODUCT((Costos!$C$5:$C$88=I$4)*Costos!$E$5:$E$88*(Costos!$K$5:$K$88&lt;=$A108)*(Costos!$L$5:$L$88&gt;$A108))</f>
        <v>0</v>
      </c>
      <c r="J108" s="48" t="n">
        <f aca="false">SUMPRODUCT((Costos!$C$5:$C$88=J$4)*Costos!$E$5:$E$88*(Costos!$K$5:$K$88&lt;=$A108)*(Costos!$L$5:$L$88&gt;$A108))</f>
        <v>1</v>
      </c>
      <c r="K108" s="48" t="n">
        <f aca="false">SUMPRODUCT((Costos!$C$5:$C$88=K$4)*Costos!$E$5:$E$88*(Costos!$K$5:$K$88&lt;=$A108)*(Costos!$L$5:$L$88&gt;$A108))</f>
        <v>0</v>
      </c>
      <c r="L108" s="48" t="n">
        <f aca="false">SUMPRODUCT((Costos!$C$5:$C$88=L$4)*Costos!$E$5:$E$88*(Costos!$K$5:$K$88&lt;=$A108)*(Costos!$L$5:$L$88&gt;$A108))</f>
        <v>0</v>
      </c>
      <c r="M108" s="48" t="n">
        <f aca="false">SUMPRODUCT((Costos!$C$5:$C$88=M$4)*Costos!$E$5:$E$88*(Costos!$K$5:$K$88&lt;=$A108)*(Costos!$L$5:$L$88&gt;$A108))</f>
        <v>0.5</v>
      </c>
      <c r="N108" s="48" t="n">
        <f aca="false">SUMPRODUCT((Costos!$C$5:$C$88=N$4)*Costos!$E$5:$E$88*(Costos!$K$5:$K$88&lt;=$A108)*(Costos!$L$5:$L$88&gt;$A108))</f>
        <v>0</v>
      </c>
    </row>
    <row r="109" customFormat="false" ht="15" hidden="false" customHeight="false" outlineLevel="0" collapsed="false">
      <c r="A109" s="26" t="n">
        <v>104</v>
      </c>
      <c r="B109" s="47" t="n">
        <f aca="false">INDEX(Calendario!$B$3:$B$172,A109+1)</f>
        <v>46454</v>
      </c>
      <c r="C109" s="48" t="n">
        <f aca="false">SUMPRODUCT((Costos!$C$5:$C$88=C$4)*Costos!$E$5:$E$88*(Costos!$K$5:$K$88&lt;=$A109)*(Costos!$L$5:$L$88&gt;$A109))</f>
        <v>0.5</v>
      </c>
      <c r="D109" s="48" t="n">
        <f aca="false">SUMPRODUCT((Costos!$C$5:$C$88=D$4)*Costos!$E$5:$E$88*(Costos!$K$5:$K$88&lt;=$A109)*(Costos!$L$5:$L$88&gt;$A109))</f>
        <v>0</v>
      </c>
      <c r="E109" s="48" t="n">
        <f aca="false">SUMPRODUCT((Costos!$C$5:$C$88=E$4)*Costos!$E$5:$E$88*(Costos!$K$5:$K$88&lt;=$A109)*(Costos!$L$5:$L$88&gt;$A109))</f>
        <v>0</v>
      </c>
      <c r="F109" s="48" t="n">
        <f aca="false">SUMPRODUCT((Costos!$C$5:$C$88=F$4)*Costos!$E$5:$E$88*(Costos!$K$5:$K$88&lt;=$A109)*(Costos!$L$5:$L$88&gt;$A109))</f>
        <v>0</v>
      </c>
      <c r="G109" s="48" t="n">
        <f aca="false">SUMPRODUCT((Costos!$C$5:$C$88=G$4)*Costos!$E$5:$E$88*(Costos!$K$5:$K$88&lt;=$A109)*(Costos!$L$5:$L$88&gt;$A109))</f>
        <v>0</v>
      </c>
      <c r="H109" s="48" t="n">
        <f aca="false">SUMPRODUCT((Costos!$C$5:$C$88=H$4)*Costos!$E$5:$E$88*(Costos!$K$5:$K$88&lt;=$A109)*(Costos!$L$5:$L$88&gt;$A109))</f>
        <v>0</v>
      </c>
      <c r="I109" s="48" t="n">
        <f aca="false">SUMPRODUCT((Costos!$C$5:$C$88=I$4)*Costos!$E$5:$E$88*(Costos!$K$5:$K$88&lt;=$A109)*(Costos!$L$5:$L$88&gt;$A109))</f>
        <v>0</v>
      </c>
      <c r="J109" s="48" t="n">
        <f aca="false">SUMPRODUCT((Costos!$C$5:$C$88=J$4)*Costos!$E$5:$E$88*(Costos!$K$5:$K$88&lt;=$A109)*(Costos!$L$5:$L$88&gt;$A109))</f>
        <v>1</v>
      </c>
      <c r="K109" s="48" t="n">
        <f aca="false">SUMPRODUCT((Costos!$C$5:$C$88=K$4)*Costos!$E$5:$E$88*(Costos!$K$5:$K$88&lt;=$A109)*(Costos!$L$5:$L$88&gt;$A109))</f>
        <v>0</v>
      </c>
      <c r="L109" s="48" t="n">
        <f aca="false">SUMPRODUCT((Costos!$C$5:$C$88=L$4)*Costos!$E$5:$E$88*(Costos!$K$5:$K$88&lt;=$A109)*(Costos!$L$5:$L$88&gt;$A109))</f>
        <v>0</v>
      </c>
      <c r="M109" s="48" t="n">
        <f aca="false">SUMPRODUCT((Costos!$C$5:$C$88=M$4)*Costos!$E$5:$E$88*(Costos!$K$5:$K$88&lt;=$A109)*(Costos!$L$5:$L$88&gt;$A109))</f>
        <v>0.5</v>
      </c>
      <c r="N109" s="48" t="n">
        <f aca="false">SUMPRODUCT((Costos!$C$5:$C$88=N$4)*Costos!$E$5:$E$88*(Costos!$K$5:$K$88&lt;=$A109)*(Costos!$L$5:$L$88&gt;$A109))</f>
        <v>0</v>
      </c>
    </row>
    <row r="110" customFormat="false" ht="15" hidden="false" customHeight="false" outlineLevel="0" collapsed="false">
      <c r="A110" s="26" t="n">
        <v>105</v>
      </c>
      <c r="B110" s="47" t="n">
        <f aca="false">INDEX(Calendario!$B$3:$B$172,A110+1)</f>
        <v>46455</v>
      </c>
      <c r="C110" s="48" t="n">
        <f aca="false">SUMPRODUCT((Costos!$C$5:$C$88=C$4)*Costos!$E$5:$E$88*(Costos!$K$5:$K$88&lt;=$A110)*(Costos!$L$5:$L$88&gt;$A110))</f>
        <v>0.5</v>
      </c>
      <c r="D110" s="48" t="n">
        <f aca="false">SUMPRODUCT((Costos!$C$5:$C$88=D$4)*Costos!$E$5:$E$88*(Costos!$K$5:$K$88&lt;=$A110)*(Costos!$L$5:$L$88&gt;$A110))</f>
        <v>0</v>
      </c>
      <c r="E110" s="48" t="n">
        <f aca="false">SUMPRODUCT((Costos!$C$5:$C$88=E$4)*Costos!$E$5:$E$88*(Costos!$K$5:$K$88&lt;=$A110)*(Costos!$L$5:$L$88&gt;$A110))</f>
        <v>0</v>
      </c>
      <c r="F110" s="48" t="n">
        <f aca="false">SUMPRODUCT((Costos!$C$5:$C$88=F$4)*Costos!$E$5:$E$88*(Costos!$K$5:$K$88&lt;=$A110)*(Costos!$L$5:$L$88&gt;$A110))</f>
        <v>0</v>
      </c>
      <c r="G110" s="48" t="n">
        <f aca="false">SUMPRODUCT((Costos!$C$5:$C$88=G$4)*Costos!$E$5:$E$88*(Costos!$K$5:$K$88&lt;=$A110)*(Costos!$L$5:$L$88&gt;$A110))</f>
        <v>0</v>
      </c>
      <c r="H110" s="48" t="n">
        <f aca="false">SUMPRODUCT((Costos!$C$5:$C$88=H$4)*Costos!$E$5:$E$88*(Costos!$K$5:$K$88&lt;=$A110)*(Costos!$L$5:$L$88&gt;$A110))</f>
        <v>0</v>
      </c>
      <c r="I110" s="48" t="n">
        <f aca="false">SUMPRODUCT((Costos!$C$5:$C$88=I$4)*Costos!$E$5:$E$88*(Costos!$K$5:$K$88&lt;=$A110)*(Costos!$L$5:$L$88&gt;$A110))</f>
        <v>0</v>
      </c>
      <c r="J110" s="48" t="n">
        <f aca="false">SUMPRODUCT((Costos!$C$5:$C$88=J$4)*Costos!$E$5:$E$88*(Costos!$K$5:$K$88&lt;=$A110)*(Costos!$L$5:$L$88&gt;$A110))</f>
        <v>1</v>
      </c>
      <c r="K110" s="48" t="n">
        <f aca="false">SUMPRODUCT((Costos!$C$5:$C$88=K$4)*Costos!$E$5:$E$88*(Costos!$K$5:$K$88&lt;=$A110)*(Costos!$L$5:$L$88&gt;$A110))</f>
        <v>0</v>
      </c>
      <c r="L110" s="48" t="n">
        <f aca="false">SUMPRODUCT((Costos!$C$5:$C$88=L$4)*Costos!$E$5:$E$88*(Costos!$K$5:$K$88&lt;=$A110)*(Costos!$L$5:$L$88&gt;$A110))</f>
        <v>0</v>
      </c>
      <c r="M110" s="48" t="n">
        <f aca="false">SUMPRODUCT((Costos!$C$5:$C$88=M$4)*Costos!$E$5:$E$88*(Costos!$K$5:$K$88&lt;=$A110)*(Costos!$L$5:$L$88&gt;$A110))</f>
        <v>0.5</v>
      </c>
      <c r="N110" s="48" t="n">
        <f aca="false">SUMPRODUCT((Costos!$C$5:$C$88=N$4)*Costos!$E$5:$E$88*(Costos!$K$5:$K$88&lt;=$A110)*(Costos!$L$5:$L$88&gt;$A110))</f>
        <v>0</v>
      </c>
    </row>
    <row r="111" customFormat="false" ht="15" hidden="false" customHeight="false" outlineLevel="0" collapsed="false">
      <c r="A111" s="26" t="n">
        <v>106</v>
      </c>
      <c r="B111" s="47" t="n">
        <f aca="false">INDEX(Calendario!$B$3:$B$172,A111+1)</f>
        <v>46456</v>
      </c>
      <c r="C111" s="48" t="n">
        <f aca="false">SUMPRODUCT((Costos!$C$5:$C$88=C$4)*Costos!$E$5:$E$88*(Costos!$K$5:$K$88&lt;=$A111)*(Costos!$L$5:$L$88&gt;$A111))</f>
        <v>0.5</v>
      </c>
      <c r="D111" s="48" t="n">
        <f aca="false">SUMPRODUCT((Costos!$C$5:$C$88=D$4)*Costos!$E$5:$E$88*(Costos!$K$5:$K$88&lt;=$A111)*(Costos!$L$5:$L$88&gt;$A111))</f>
        <v>0</v>
      </c>
      <c r="E111" s="48" t="n">
        <f aca="false">SUMPRODUCT((Costos!$C$5:$C$88=E$4)*Costos!$E$5:$E$88*(Costos!$K$5:$K$88&lt;=$A111)*(Costos!$L$5:$L$88&gt;$A111))</f>
        <v>0</v>
      </c>
      <c r="F111" s="48" t="n">
        <f aca="false">SUMPRODUCT((Costos!$C$5:$C$88=F$4)*Costos!$E$5:$E$88*(Costos!$K$5:$K$88&lt;=$A111)*(Costos!$L$5:$L$88&gt;$A111))</f>
        <v>0</v>
      </c>
      <c r="G111" s="48" t="n">
        <f aca="false">SUMPRODUCT((Costos!$C$5:$C$88=G$4)*Costos!$E$5:$E$88*(Costos!$K$5:$K$88&lt;=$A111)*(Costos!$L$5:$L$88&gt;$A111))</f>
        <v>0</v>
      </c>
      <c r="H111" s="48" t="n">
        <f aca="false">SUMPRODUCT((Costos!$C$5:$C$88=H$4)*Costos!$E$5:$E$88*(Costos!$K$5:$K$88&lt;=$A111)*(Costos!$L$5:$L$88&gt;$A111))</f>
        <v>0</v>
      </c>
      <c r="I111" s="48" t="n">
        <f aca="false">SUMPRODUCT((Costos!$C$5:$C$88=I$4)*Costos!$E$5:$E$88*(Costos!$K$5:$K$88&lt;=$A111)*(Costos!$L$5:$L$88&gt;$A111))</f>
        <v>0</v>
      </c>
      <c r="J111" s="48" t="n">
        <f aca="false">SUMPRODUCT((Costos!$C$5:$C$88=J$4)*Costos!$E$5:$E$88*(Costos!$K$5:$K$88&lt;=$A111)*(Costos!$L$5:$L$88&gt;$A111))</f>
        <v>1</v>
      </c>
      <c r="K111" s="48" t="n">
        <f aca="false">SUMPRODUCT((Costos!$C$5:$C$88=K$4)*Costos!$E$5:$E$88*(Costos!$K$5:$K$88&lt;=$A111)*(Costos!$L$5:$L$88&gt;$A111))</f>
        <v>0</v>
      </c>
      <c r="L111" s="48" t="n">
        <f aca="false">SUMPRODUCT((Costos!$C$5:$C$88=L$4)*Costos!$E$5:$E$88*(Costos!$K$5:$K$88&lt;=$A111)*(Costos!$L$5:$L$88&gt;$A111))</f>
        <v>0</v>
      </c>
      <c r="M111" s="48" t="n">
        <f aca="false">SUMPRODUCT((Costos!$C$5:$C$88=M$4)*Costos!$E$5:$E$88*(Costos!$K$5:$K$88&lt;=$A111)*(Costos!$L$5:$L$88&gt;$A111))</f>
        <v>0.5</v>
      </c>
      <c r="N111" s="48" t="n">
        <f aca="false">SUMPRODUCT((Costos!$C$5:$C$88=N$4)*Costos!$E$5:$E$88*(Costos!$K$5:$K$88&lt;=$A111)*(Costos!$L$5:$L$88&gt;$A111))</f>
        <v>0</v>
      </c>
    </row>
    <row r="112" customFormat="false" ht="15" hidden="false" customHeight="false" outlineLevel="0" collapsed="false">
      <c r="A112" s="26" t="n">
        <v>107</v>
      </c>
      <c r="B112" s="47" t="n">
        <f aca="false">INDEX(Calendario!$B$3:$B$172,A112+1)</f>
        <v>46457</v>
      </c>
      <c r="C112" s="48" t="n">
        <f aca="false">SUMPRODUCT((Costos!$C$5:$C$88=C$4)*Costos!$E$5:$E$88*(Costos!$K$5:$K$88&lt;=$A112)*(Costos!$L$5:$L$88&gt;$A112))</f>
        <v>0.5</v>
      </c>
      <c r="D112" s="48" t="n">
        <f aca="false">SUMPRODUCT((Costos!$C$5:$C$88=D$4)*Costos!$E$5:$E$88*(Costos!$K$5:$K$88&lt;=$A112)*(Costos!$L$5:$L$88&gt;$A112))</f>
        <v>0</v>
      </c>
      <c r="E112" s="48" t="n">
        <f aca="false">SUMPRODUCT((Costos!$C$5:$C$88=E$4)*Costos!$E$5:$E$88*(Costos!$K$5:$K$88&lt;=$A112)*(Costos!$L$5:$L$88&gt;$A112))</f>
        <v>0</v>
      </c>
      <c r="F112" s="48" t="n">
        <f aca="false">SUMPRODUCT((Costos!$C$5:$C$88=F$4)*Costos!$E$5:$E$88*(Costos!$K$5:$K$88&lt;=$A112)*(Costos!$L$5:$L$88&gt;$A112))</f>
        <v>0</v>
      </c>
      <c r="G112" s="48" t="n">
        <f aca="false">SUMPRODUCT((Costos!$C$5:$C$88=G$4)*Costos!$E$5:$E$88*(Costos!$K$5:$K$88&lt;=$A112)*(Costos!$L$5:$L$88&gt;$A112))</f>
        <v>0</v>
      </c>
      <c r="H112" s="48" t="n">
        <f aca="false">SUMPRODUCT((Costos!$C$5:$C$88=H$4)*Costos!$E$5:$E$88*(Costos!$K$5:$K$88&lt;=$A112)*(Costos!$L$5:$L$88&gt;$A112))</f>
        <v>0</v>
      </c>
      <c r="I112" s="48" t="n">
        <f aca="false">SUMPRODUCT((Costos!$C$5:$C$88=I$4)*Costos!$E$5:$E$88*(Costos!$K$5:$K$88&lt;=$A112)*(Costos!$L$5:$L$88&gt;$A112))</f>
        <v>0</v>
      </c>
      <c r="J112" s="48" t="n">
        <f aca="false">SUMPRODUCT((Costos!$C$5:$C$88=J$4)*Costos!$E$5:$E$88*(Costos!$K$5:$K$88&lt;=$A112)*(Costos!$L$5:$L$88&gt;$A112))</f>
        <v>1</v>
      </c>
      <c r="K112" s="48" t="n">
        <f aca="false">SUMPRODUCT((Costos!$C$5:$C$88=K$4)*Costos!$E$5:$E$88*(Costos!$K$5:$K$88&lt;=$A112)*(Costos!$L$5:$L$88&gt;$A112))</f>
        <v>0</v>
      </c>
      <c r="L112" s="48" t="n">
        <f aca="false">SUMPRODUCT((Costos!$C$5:$C$88=L$4)*Costos!$E$5:$E$88*(Costos!$K$5:$K$88&lt;=$A112)*(Costos!$L$5:$L$88&gt;$A112))</f>
        <v>0</v>
      </c>
      <c r="M112" s="48" t="n">
        <f aca="false">SUMPRODUCT((Costos!$C$5:$C$88=M$4)*Costos!$E$5:$E$88*(Costos!$K$5:$K$88&lt;=$A112)*(Costos!$L$5:$L$88&gt;$A112))</f>
        <v>0.5</v>
      </c>
      <c r="N112" s="48" t="n">
        <f aca="false">SUMPRODUCT((Costos!$C$5:$C$88=N$4)*Costos!$E$5:$E$88*(Costos!$K$5:$K$88&lt;=$A112)*(Costos!$L$5:$L$88&gt;$A112))</f>
        <v>0</v>
      </c>
    </row>
    <row r="113" customFormat="false" ht="15" hidden="false" customHeight="false" outlineLevel="0" collapsed="false">
      <c r="A113" s="26" t="n">
        <v>108</v>
      </c>
      <c r="B113" s="47" t="n">
        <f aca="false">INDEX(Calendario!$B$3:$B$172,A113+1)</f>
        <v>46458</v>
      </c>
      <c r="C113" s="48" t="n">
        <f aca="false">SUMPRODUCT((Costos!$C$5:$C$88=C$4)*Costos!$E$5:$E$88*(Costos!$K$5:$K$88&lt;=$A113)*(Costos!$L$5:$L$88&gt;$A113))</f>
        <v>0.5</v>
      </c>
      <c r="D113" s="48" t="n">
        <f aca="false">SUMPRODUCT((Costos!$C$5:$C$88=D$4)*Costos!$E$5:$E$88*(Costos!$K$5:$K$88&lt;=$A113)*(Costos!$L$5:$L$88&gt;$A113))</f>
        <v>0</v>
      </c>
      <c r="E113" s="48" t="n">
        <f aca="false">SUMPRODUCT((Costos!$C$5:$C$88=E$4)*Costos!$E$5:$E$88*(Costos!$K$5:$K$88&lt;=$A113)*(Costos!$L$5:$L$88&gt;$A113))</f>
        <v>0</v>
      </c>
      <c r="F113" s="48" t="n">
        <f aca="false">SUMPRODUCT((Costos!$C$5:$C$88=F$4)*Costos!$E$5:$E$88*(Costos!$K$5:$K$88&lt;=$A113)*(Costos!$L$5:$L$88&gt;$A113))</f>
        <v>0</v>
      </c>
      <c r="G113" s="48" t="n">
        <f aca="false">SUMPRODUCT((Costos!$C$5:$C$88=G$4)*Costos!$E$5:$E$88*(Costos!$K$5:$K$88&lt;=$A113)*(Costos!$L$5:$L$88&gt;$A113))</f>
        <v>0</v>
      </c>
      <c r="H113" s="48" t="n">
        <f aca="false">SUMPRODUCT((Costos!$C$5:$C$88=H$4)*Costos!$E$5:$E$88*(Costos!$K$5:$K$88&lt;=$A113)*(Costos!$L$5:$L$88&gt;$A113))</f>
        <v>0</v>
      </c>
      <c r="I113" s="48" t="n">
        <f aca="false">SUMPRODUCT((Costos!$C$5:$C$88=I$4)*Costos!$E$5:$E$88*(Costos!$K$5:$K$88&lt;=$A113)*(Costos!$L$5:$L$88&gt;$A113))</f>
        <v>0</v>
      </c>
      <c r="J113" s="48" t="n">
        <f aca="false">SUMPRODUCT((Costos!$C$5:$C$88=J$4)*Costos!$E$5:$E$88*(Costos!$K$5:$K$88&lt;=$A113)*(Costos!$L$5:$L$88&gt;$A113))</f>
        <v>1</v>
      </c>
      <c r="K113" s="48" t="n">
        <f aca="false">SUMPRODUCT((Costos!$C$5:$C$88=K$4)*Costos!$E$5:$E$88*(Costos!$K$5:$K$88&lt;=$A113)*(Costos!$L$5:$L$88&gt;$A113))</f>
        <v>0</v>
      </c>
      <c r="L113" s="48" t="n">
        <f aca="false">SUMPRODUCT((Costos!$C$5:$C$88=L$4)*Costos!$E$5:$E$88*(Costos!$K$5:$K$88&lt;=$A113)*(Costos!$L$5:$L$88&gt;$A113))</f>
        <v>0</v>
      </c>
      <c r="M113" s="48" t="n">
        <f aca="false">SUMPRODUCT((Costos!$C$5:$C$88=M$4)*Costos!$E$5:$E$88*(Costos!$K$5:$K$88&lt;=$A113)*(Costos!$L$5:$L$88&gt;$A113))</f>
        <v>0.5</v>
      </c>
      <c r="N113" s="48" t="n">
        <f aca="false">SUMPRODUCT((Costos!$C$5:$C$88=N$4)*Costos!$E$5:$E$88*(Costos!$K$5:$K$88&lt;=$A113)*(Costos!$L$5:$L$88&gt;$A113))</f>
        <v>0</v>
      </c>
    </row>
    <row r="114" customFormat="false" ht="15" hidden="false" customHeight="false" outlineLevel="0" collapsed="false">
      <c r="A114" s="26" t="n">
        <v>109</v>
      </c>
      <c r="B114" s="47" t="n">
        <f aca="false">INDEX(Calendario!$B$3:$B$172,A114+1)</f>
        <v>46461</v>
      </c>
      <c r="C114" s="48" t="n">
        <f aca="false">SUMPRODUCT((Costos!$C$5:$C$88=C$4)*Costos!$E$5:$E$88*(Costos!$K$5:$K$88&lt;=$A114)*(Costos!$L$5:$L$88&gt;$A114))</f>
        <v>0.5</v>
      </c>
      <c r="D114" s="48" t="n">
        <f aca="false">SUMPRODUCT((Costos!$C$5:$C$88=D$4)*Costos!$E$5:$E$88*(Costos!$K$5:$K$88&lt;=$A114)*(Costos!$L$5:$L$88&gt;$A114))</f>
        <v>0</v>
      </c>
      <c r="E114" s="48" t="n">
        <f aca="false">SUMPRODUCT((Costos!$C$5:$C$88=E$4)*Costos!$E$5:$E$88*(Costos!$K$5:$K$88&lt;=$A114)*(Costos!$L$5:$L$88&gt;$A114))</f>
        <v>0</v>
      </c>
      <c r="F114" s="48" t="n">
        <f aca="false">SUMPRODUCT((Costos!$C$5:$C$88=F$4)*Costos!$E$5:$E$88*(Costos!$K$5:$K$88&lt;=$A114)*(Costos!$L$5:$L$88&gt;$A114))</f>
        <v>0</v>
      </c>
      <c r="G114" s="48" t="n">
        <f aca="false">SUMPRODUCT((Costos!$C$5:$C$88=G$4)*Costos!$E$5:$E$88*(Costos!$K$5:$K$88&lt;=$A114)*(Costos!$L$5:$L$88&gt;$A114))</f>
        <v>0</v>
      </c>
      <c r="H114" s="48" t="n">
        <f aca="false">SUMPRODUCT((Costos!$C$5:$C$88=H$4)*Costos!$E$5:$E$88*(Costos!$K$5:$K$88&lt;=$A114)*(Costos!$L$5:$L$88&gt;$A114))</f>
        <v>0</v>
      </c>
      <c r="I114" s="48" t="n">
        <f aca="false">SUMPRODUCT((Costos!$C$5:$C$88=I$4)*Costos!$E$5:$E$88*(Costos!$K$5:$K$88&lt;=$A114)*(Costos!$L$5:$L$88&gt;$A114))</f>
        <v>0</v>
      </c>
      <c r="J114" s="48" t="n">
        <f aca="false">SUMPRODUCT((Costos!$C$5:$C$88=J$4)*Costos!$E$5:$E$88*(Costos!$K$5:$K$88&lt;=$A114)*(Costos!$L$5:$L$88&gt;$A114))</f>
        <v>1</v>
      </c>
      <c r="K114" s="48" t="n">
        <f aca="false">SUMPRODUCT((Costos!$C$5:$C$88=K$4)*Costos!$E$5:$E$88*(Costos!$K$5:$K$88&lt;=$A114)*(Costos!$L$5:$L$88&gt;$A114))</f>
        <v>0</v>
      </c>
      <c r="L114" s="48" t="n">
        <f aca="false">SUMPRODUCT((Costos!$C$5:$C$88=L$4)*Costos!$E$5:$E$88*(Costos!$K$5:$K$88&lt;=$A114)*(Costos!$L$5:$L$88&gt;$A114))</f>
        <v>0</v>
      </c>
      <c r="M114" s="48" t="n">
        <f aca="false">SUMPRODUCT((Costos!$C$5:$C$88=M$4)*Costos!$E$5:$E$88*(Costos!$K$5:$K$88&lt;=$A114)*(Costos!$L$5:$L$88&gt;$A114))</f>
        <v>0.5</v>
      </c>
      <c r="N114" s="48" t="n">
        <f aca="false">SUMPRODUCT((Costos!$C$5:$C$88=N$4)*Costos!$E$5:$E$88*(Costos!$K$5:$K$88&lt;=$A114)*(Costos!$L$5:$L$88&gt;$A114))</f>
        <v>0</v>
      </c>
    </row>
    <row r="115" customFormat="false" ht="15" hidden="false" customHeight="false" outlineLevel="0" collapsed="false">
      <c r="A115" s="26" t="n">
        <v>110</v>
      </c>
      <c r="B115" s="47" t="n">
        <f aca="false">INDEX(Calendario!$B$3:$B$172,A115+1)</f>
        <v>46462</v>
      </c>
      <c r="C115" s="48" t="n">
        <f aca="false">SUMPRODUCT((Costos!$C$5:$C$88=C$4)*Costos!$E$5:$E$88*(Costos!$K$5:$K$88&lt;=$A115)*(Costos!$L$5:$L$88&gt;$A115))</f>
        <v>0.5</v>
      </c>
      <c r="D115" s="48" t="n">
        <f aca="false">SUMPRODUCT((Costos!$C$5:$C$88=D$4)*Costos!$E$5:$E$88*(Costos!$K$5:$K$88&lt;=$A115)*(Costos!$L$5:$L$88&gt;$A115))</f>
        <v>1</v>
      </c>
      <c r="E115" s="48" t="n">
        <f aca="false">SUMPRODUCT((Costos!$C$5:$C$88=E$4)*Costos!$E$5:$E$88*(Costos!$K$5:$K$88&lt;=$A115)*(Costos!$L$5:$L$88&gt;$A115))</f>
        <v>0</v>
      </c>
      <c r="F115" s="48" t="n">
        <f aca="false">SUMPRODUCT((Costos!$C$5:$C$88=F$4)*Costos!$E$5:$E$88*(Costos!$K$5:$K$88&lt;=$A115)*(Costos!$L$5:$L$88&gt;$A115))</f>
        <v>0</v>
      </c>
      <c r="G115" s="48" t="n">
        <f aca="false">SUMPRODUCT((Costos!$C$5:$C$88=G$4)*Costos!$E$5:$E$88*(Costos!$K$5:$K$88&lt;=$A115)*(Costos!$L$5:$L$88&gt;$A115))</f>
        <v>1</v>
      </c>
      <c r="H115" s="48" t="n">
        <f aca="false">SUMPRODUCT((Costos!$C$5:$C$88=H$4)*Costos!$E$5:$E$88*(Costos!$K$5:$K$88&lt;=$A115)*(Costos!$L$5:$L$88&gt;$A115))</f>
        <v>0</v>
      </c>
      <c r="I115" s="48" t="n">
        <f aca="false">SUMPRODUCT((Costos!$C$5:$C$88=I$4)*Costos!$E$5:$E$88*(Costos!$K$5:$K$88&lt;=$A115)*(Costos!$L$5:$L$88&gt;$A115))</f>
        <v>0</v>
      </c>
      <c r="J115" s="48" t="n">
        <f aca="false">SUMPRODUCT((Costos!$C$5:$C$88=J$4)*Costos!$E$5:$E$88*(Costos!$K$5:$K$88&lt;=$A115)*(Costos!$L$5:$L$88&gt;$A115))</f>
        <v>1</v>
      </c>
      <c r="K115" s="48" t="n">
        <f aca="false">SUMPRODUCT((Costos!$C$5:$C$88=K$4)*Costos!$E$5:$E$88*(Costos!$K$5:$K$88&lt;=$A115)*(Costos!$L$5:$L$88&gt;$A115))</f>
        <v>0.3</v>
      </c>
      <c r="L115" s="48" t="n">
        <f aca="false">SUMPRODUCT((Costos!$C$5:$C$88=L$4)*Costos!$E$5:$E$88*(Costos!$K$5:$K$88&lt;=$A115)*(Costos!$L$5:$L$88&gt;$A115))</f>
        <v>0.5</v>
      </c>
      <c r="M115" s="48" t="n">
        <f aca="false">SUMPRODUCT((Costos!$C$5:$C$88=M$4)*Costos!$E$5:$E$88*(Costos!$K$5:$K$88&lt;=$A115)*(Costos!$L$5:$L$88&gt;$A115))</f>
        <v>1</v>
      </c>
      <c r="N115" s="48" t="n">
        <f aca="false">SUMPRODUCT((Costos!$C$5:$C$88=N$4)*Costos!$E$5:$E$88*(Costos!$K$5:$K$88&lt;=$A115)*(Costos!$L$5:$L$88&gt;$A115))</f>
        <v>5.625</v>
      </c>
    </row>
    <row r="116" customFormat="false" ht="15" hidden="false" customHeight="false" outlineLevel="0" collapsed="false">
      <c r="A116" s="26" t="n">
        <v>111</v>
      </c>
      <c r="B116" s="47" t="n">
        <f aca="false">INDEX(Calendario!$B$3:$B$172,A116+1)</f>
        <v>46463</v>
      </c>
      <c r="C116" s="48" t="n">
        <f aca="false">SUMPRODUCT((Costos!$C$5:$C$88=C$4)*Costos!$E$5:$E$88*(Costos!$K$5:$K$88&lt;=$A116)*(Costos!$L$5:$L$88&gt;$A116))</f>
        <v>0.5</v>
      </c>
      <c r="D116" s="48" t="n">
        <f aca="false">SUMPRODUCT((Costos!$C$5:$C$88=D$4)*Costos!$E$5:$E$88*(Costos!$K$5:$K$88&lt;=$A116)*(Costos!$L$5:$L$88&gt;$A116))</f>
        <v>1</v>
      </c>
      <c r="E116" s="48" t="n">
        <f aca="false">SUMPRODUCT((Costos!$C$5:$C$88=E$4)*Costos!$E$5:$E$88*(Costos!$K$5:$K$88&lt;=$A116)*(Costos!$L$5:$L$88&gt;$A116))</f>
        <v>0</v>
      </c>
      <c r="F116" s="48" t="n">
        <f aca="false">SUMPRODUCT((Costos!$C$5:$C$88=F$4)*Costos!$E$5:$E$88*(Costos!$K$5:$K$88&lt;=$A116)*(Costos!$L$5:$L$88&gt;$A116))</f>
        <v>0</v>
      </c>
      <c r="G116" s="48" t="n">
        <f aca="false">SUMPRODUCT((Costos!$C$5:$C$88=G$4)*Costos!$E$5:$E$88*(Costos!$K$5:$K$88&lt;=$A116)*(Costos!$L$5:$L$88&gt;$A116))</f>
        <v>1</v>
      </c>
      <c r="H116" s="48" t="n">
        <f aca="false">SUMPRODUCT((Costos!$C$5:$C$88=H$4)*Costos!$E$5:$E$88*(Costos!$K$5:$K$88&lt;=$A116)*(Costos!$L$5:$L$88&gt;$A116))</f>
        <v>0</v>
      </c>
      <c r="I116" s="48" t="n">
        <f aca="false">SUMPRODUCT((Costos!$C$5:$C$88=I$4)*Costos!$E$5:$E$88*(Costos!$K$5:$K$88&lt;=$A116)*(Costos!$L$5:$L$88&gt;$A116))</f>
        <v>0</v>
      </c>
      <c r="J116" s="48" t="n">
        <f aca="false">SUMPRODUCT((Costos!$C$5:$C$88=J$4)*Costos!$E$5:$E$88*(Costos!$K$5:$K$88&lt;=$A116)*(Costos!$L$5:$L$88&gt;$A116))</f>
        <v>1</v>
      </c>
      <c r="K116" s="48" t="n">
        <f aca="false">SUMPRODUCT((Costos!$C$5:$C$88=K$4)*Costos!$E$5:$E$88*(Costos!$K$5:$K$88&lt;=$A116)*(Costos!$L$5:$L$88&gt;$A116))</f>
        <v>0.3</v>
      </c>
      <c r="L116" s="48" t="n">
        <f aca="false">SUMPRODUCT((Costos!$C$5:$C$88=L$4)*Costos!$E$5:$E$88*(Costos!$K$5:$K$88&lt;=$A116)*(Costos!$L$5:$L$88&gt;$A116))</f>
        <v>0.5</v>
      </c>
      <c r="M116" s="48" t="n">
        <f aca="false">SUMPRODUCT((Costos!$C$5:$C$88=M$4)*Costos!$E$5:$E$88*(Costos!$K$5:$K$88&lt;=$A116)*(Costos!$L$5:$L$88&gt;$A116))</f>
        <v>1</v>
      </c>
      <c r="N116" s="48" t="n">
        <f aca="false">SUMPRODUCT((Costos!$C$5:$C$88=N$4)*Costos!$E$5:$E$88*(Costos!$K$5:$K$88&lt;=$A116)*(Costos!$L$5:$L$88&gt;$A116))</f>
        <v>5.625</v>
      </c>
    </row>
    <row r="117" customFormat="false" ht="15" hidden="false" customHeight="false" outlineLevel="0" collapsed="false">
      <c r="A117" s="26" t="n">
        <v>112</v>
      </c>
      <c r="B117" s="47" t="n">
        <f aca="false">INDEX(Calendario!$B$3:$B$172,A117+1)</f>
        <v>46464</v>
      </c>
      <c r="C117" s="48" t="n">
        <f aca="false">SUMPRODUCT((Costos!$C$5:$C$88=C$4)*Costos!$E$5:$E$88*(Costos!$K$5:$K$88&lt;=$A117)*(Costos!$L$5:$L$88&gt;$A117))</f>
        <v>0.5</v>
      </c>
      <c r="D117" s="48" t="n">
        <f aca="false">SUMPRODUCT((Costos!$C$5:$C$88=D$4)*Costos!$E$5:$E$88*(Costos!$K$5:$K$88&lt;=$A117)*(Costos!$L$5:$L$88&gt;$A117))</f>
        <v>1</v>
      </c>
      <c r="E117" s="48" t="n">
        <f aca="false">SUMPRODUCT((Costos!$C$5:$C$88=E$4)*Costos!$E$5:$E$88*(Costos!$K$5:$K$88&lt;=$A117)*(Costos!$L$5:$L$88&gt;$A117))</f>
        <v>0</v>
      </c>
      <c r="F117" s="48" t="n">
        <f aca="false">SUMPRODUCT((Costos!$C$5:$C$88=F$4)*Costos!$E$5:$E$88*(Costos!$K$5:$K$88&lt;=$A117)*(Costos!$L$5:$L$88&gt;$A117))</f>
        <v>0</v>
      </c>
      <c r="G117" s="48" t="n">
        <f aca="false">SUMPRODUCT((Costos!$C$5:$C$88=G$4)*Costos!$E$5:$E$88*(Costos!$K$5:$K$88&lt;=$A117)*(Costos!$L$5:$L$88&gt;$A117))</f>
        <v>1</v>
      </c>
      <c r="H117" s="48" t="n">
        <f aca="false">SUMPRODUCT((Costos!$C$5:$C$88=H$4)*Costos!$E$5:$E$88*(Costos!$K$5:$K$88&lt;=$A117)*(Costos!$L$5:$L$88&gt;$A117))</f>
        <v>0</v>
      </c>
      <c r="I117" s="48" t="n">
        <f aca="false">SUMPRODUCT((Costos!$C$5:$C$88=I$4)*Costos!$E$5:$E$88*(Costos!$K$5:$K$88&lt;=$A117)*(Costos!$L$5:$L$88&gt;$A117))</f>
        <v>0</v>
      </c>
      <c r="J117" s="48" t="n">
        <f aca="false">SUMPRODUCT((Costos!$C$5:$C$88=J$4)*Costos!$E$5:$E$88*(Costos!$K$5:$K$88&lt;=$A117)*(Costos!$L$5:$L$88&gt;$A117))</f>
        <v>1</v>
      </c>
      <c r="K117" s="48" t="n">
        <f aca="false">SUMPRODUCT((Costos!$C$5:$C$88=K$4)*Costos!$E$5:$E$88*(Costos!$K$5:$K$88&lt;=$A117)*(Costos!$L$5:$L$88&gt;$A117))</f>
        <v>0.3</v>
      </c>
      <c r="L117" s="48" t="n">
        <f aca="false">SUMPRODUCT((Costos!$C$5:$C$88=L$4)*Costos!$E$5:$E$88*(Costos!$K$5:$K$88&lt;=$A117)*(Costos!$L$5:$L$88&gt;$A117))</f>
        <v>0.5</v>
      </c>
      <c r="M117" s="48" t="n">
        <f aca="false">SUMPRODUCT((Costos!$C$5:$C$88=M$4)*Costos!$E$5:$E$88*(Costos!$K$5:$K$88&lt;=$A117)*(Costos!$L$5:$L$88&gt;$A117))</f>
        <v>1</v>
      </c>
      <c r="N117" s="48" t="n">
        <f aca="false">SUMPRODUCT((Costos!$C$5:$C$88=N$4)*Costos!$E$5:$E$88*(Costos!$K$5:$K$88&lt;=$A117)*(Costos!$L$5:$L$88&gt;$A117))</f>
        <v>5.625</v>
      </c>
    </row>
    <row r="118" customFormat="false" ht="15" hidden="false" customHeight="false" outlineLevel="0" collapsed="false">
      <c r="A118" s="26" t="n">
        <v>113</v>
      </c>
      <c r="B118" s="47" t="n">
        <f aca="false">INDEX(Calendario!$B$3:$B$172,A118+1)</f>
        <v>46465</v>
      </c>
      <c r="C118" s="48" t="n">
        <f aca="false">SUMPRODUCT((Costos!$C$5:$C$88=C$4)*Costos!$E$5:$E$88*(Costos!$K$5:$K$88&lt;=$A118)*(Costos!$L$5:$L$88&gt;$A118))</f>
        <v>0.5</v>
      </c>
      <c r="D118" s="48" t="n">
        <f aca="false">SUMPRODUCT((Costos!$C$5:$C$88=D$4)*Costos!$E$5:$E$88*(Costos!$K$5:$K$88&lt;=$A118)*(Costos!$L$5:$L$88&gt;$A118))</f>
        <v>1</v>
      </c>
      <c r="E118" s="48" t="n">
        <f aca="false">SUMPRODUCT((Costos!$C$5:$C$88=E$4)*Costos!$E$5:$E$88*(Costos!$K$5:$K$88&lt;=$A118)*(Costos!$L$5:$L$88&gt;$A118))</f>
        <v>0</v>
      </c>
      <c r="F118" s="48" t="n">
        <f aca="false">SUMPRODUCT((Costos!$C$5:$C$88=F$4)*Costos!$E$5:$E$88*(Costos!$K$5:$K$88&lt;=$A118)*(Costos!$L$5:$L$88&gt;$A118))</f>
        <v>0</v>
      </c>
      <c r="G118" s="48" t="n">
        <f aca="false">SUMPRODUCT((Costos!$C$5:$C$88=G$4)*Costos!$E$5:$E$88*(Costos!$K$5:$K$88&lt;=$A118)*(Costos!$L$5:$L$88&gt;$A118))</f>
        <v>1</v>
      </c>
      <c r="H118" s="48" t="n">
        <f aca="false">SUMPRODUCT((Costos!$C$5:$C$88=H$4)*Costos!$E$5:$E$88*(Costos!$K$5:$K$88&lt;=$A118)*(Costos!$L$5:$L$88&gt;$A118))</f>
        <v>0</v>
      </c>
      <c r="I118" s="48" t="n">
        <f aca="false">SUMPRODUCT((Costos!$C$5:$C$88=I$4)*Costos!$E$5:$E$88*(Costos!$K$5:$K$88&lt;=$A118)*(Costos!$L$5:$L$88&gt;$A118))</f>
        <v>0</v>
      </c>
      <c r="J118" s="48" t="n">
        <f aca="false">SUMPRODUCT((Costos!$C$5:$C$88=J$4)*Costos!$E$5:$E$88*(Costos!$K$5:$K$88&lt;=$A118)*(Costos!$L$5:$L$88&gt;$A118))</f>
        <v>1</v>
      </c>
      <c r="K118" s="48" t="n">
        <f aca="false">SUMPRODUCT((Costos!$C$5:$C$88=K$4)*Costos!$E$5:$E$88*(Costos!$K$5:$K$88&lt;=$A118)*(Costos!$L$5:$L$88&gt;$A118))</f>
        <v>0.3</v>
      </c>
      <c r="L118" s="48" t="n">
        <f aca="false">SUMPRODUCT((Costos!$C$5:$C$88=L$4)*Costos!$E$5:$E$88*(Costos!$K$5:$K$88&lt;=$A118)*(Costos!$L$5:$L$88&gt;$A118))</f>
        <v>0.5</v>
      </c>
      <c r="M118" s="48" t="n">
        <f aca="false">SUMPRODUCT((Costos!$C$5:$C$88=M$4)*Costos!$E$5:$E$88*(Costos!$K$5:$K$88&lt;=$A118)*(Costos!$L$5:$L$88&gt;$A118))</f>
        <v>1</v>
      </c>
      <c r="N118" s="48" t="n">
        <f aca="false">SUMPRODUCT((Costos!$C$5:$C$88=N$4)*Costos!$E$5:$E$88*(Costos!$K$5:$K$88&lt;=$A118)*(Costos!$L$5:$L$88&gt;$A118))</f>
        <v>5.625</v>
      </c>
    </row>
    <row r="119" customFormat="false" ht="15" hidden="false" customHeight="false" outlineLevel="0" collapsed="false">
      <c r="A119" s="26" t="n">
        <v>114</v>
      </c>
      <c r="B119" s="47" t="n">
        <f aca="false">INDEX(Calendario!$B$3:$B$172,A119+1)</f>
        <v>46468</v>
      </c>
      <c r="C119" s="48" t="n">
        <f aca="false">SUMPRODUCT((Costos!$C$5:$C$88=C$4)*Costos!$E$5:$E$88*(Costos!$K$5:$K$88&lt;=$A119)*(Costos!$L$5:$L$88&gt;$A119))</f>
        <v>0.5</v>
      </c>
      <c r="D119" s="48" t="n">
        <f aca="false">SUMPRODUCT((Costos!$C$5:$C$88=D$4)*Costos!$E$5:$E$88*(Costos!$K$5:$K$88&lt;=$A119)*(Costos!$L$5:$L$88&gt;$A119))</f>
        <v>0</v>
      </c>
      <c r="E119" s="48" t="n">
        <f aca="false">SUMPRODUCT((Costos!$C$5:$C$88=E$4)*Costos!$E$5:$E$88*(Costos!$K$5:$K$88&lt;=$A119)*(Costos!$L$5:$L$88&gt;$A119))</f>
        <v>0</v>
      </c>
      <c r="F119" s="48" t="n">
        <f aca="false">SUMPRODUCT((Costos!$C$5:$C$88=F$4)*Costos!$E$5:$E$88*(Costos!$K$5:$K$88&lt;=$A119)*(Costos!$L$5:$L$88&gt;$A119))</f>
        <v>0</v>
      </c>
      <c r="G119" s="48" t="n">
        <f aca="false">SUMPRODUCT((Costos!$C$5:$C$88=G$4)*Costos!$E$5:$E$88*(Costos!$K$5:$K$88&lt;=$A119)*(Costos!$L$5:$L$88&gt;$A119))</f>
        <v>0</v>
      </c>
      <c r="H119" s="48" t="n">
        <f aca="false">SUMPRODUCT((Costos!$C$5:$C$88=H$4)*Costos!$E$5:$E$88*(Costos!$K$5:$K$88&lt;=$A119)*(Costos!$L$5:$L$88&gt;$A119))</f>
        <v>0</v>
      </c>
      <c r="I119" s="48" t="n">
        <f aca="false">SUMPRODUCT((Costos!$C$5:$C$88=I$4)*Costos!$E$5:$E$88*(Costos!$K$5:$K$88&lt;=$A119)*(Costos!$L$5:$L$88&gt;$A119))</f>
        <v>0</v>
      </c>
      <c r="J119" s="48" t="n">
        <f aca="false">SUMPRODUCT((Costos!$C$5:$C$88=J$4)*Costos!$E$5:$E$88*(Costos!$K$5:$K$88&lt;=$A119)*(Costos!$L$5:$L$88&gt;$A119))</f>
        <v>0</v>
      </c>
      <c r="K119" s="48" t="n">
        <f aca="false">SUMPRODUCT((Costos!$C$5:$C$88=K$4)*Costos!$E$5:$E$88*(Costos!$K$5:$K$88&lt;=$A119)*(Costos!$L$5:$L$88&gt;$A119))</f>
        <v>0</v>
      </c>
      <c r="L119" s="48" t="n">
        <f aca="false">SUMPRODUCT((Costos!$C$5:$C$88=L$4)*Costos!$E$5:$E$88*(Costos!$K$5:$K$88&lt;=$A119)*(Costos!$L$5:$L$88&gt;$A119))</f>
        <v>0</v>
      </c>
      <c r="M119" s="48" t="n">
        <f aca="false">SUMPRODUCT((Costos!$C$5:$C$88=M$4)*Costos!$E$5:$E$88*(Costos!$K$5:$K$88&lt;=$A119)*(Costos!$L$5:$L$88&gt;$A119))</f>
        <v>0</v>
      </c>
      <c r="N119" s="48" t="n">
        <f aca="false">SUMPRODUCT((Costos!$C$5:$C$88=N$4)*Costos!$E$5:$E$88*(Costos!$K$5:$K$88&lt;=$A119)*(Costos!$L$5:$L$88&gt;$A119))</f>
        <v>0</v>
      </c>
    </row>
    <row r="120" customFormat="false" ht="15" hidden="false" customHeight="false" outlineLevel="0" collapsed="false">
      <c r="A120" s="26" t="n">
        <v>115</v>
      </c>
      <c r="B120" s="47" t="n">
        <f aca="false">INDEX(Calendario!$B$3:$B$172,A120+1)</f>
        <v>46469</v>
      </c>
      <c r="C120" s="48" t="n">
        <f aca="false">SUMPRODUCT((Costos!$C$5:$C$88=C$4)*Costos!$E$5:$E$88*(Costos!$K$5:$K$88&lt;=$A120)*(Costos!$L$5:$L$88&gt;$A120))</f>
        <v>0.5</v>
      </c>
      <c r="D120" s="48" t="n">
        <f aca="false">SUMPRODUCT((Costos!$C$5:$C$88=D$4)*Costos!$E$5:$E$88*(Costos!$K$5:$K$88&lt;=$A120)*(Costos!$L$5:$L$88&gt;$A120))</f>
        <v>0</v>
      </c>
      <c r="E120" s="48" t="n">
        <f aca="false">SUMPRODUCT((Costos!$C$5:$C$88=E$4)*Costos!$E$5:$E$88*(Costos!$K$5:$K$88&lt;=$A120)*(Costos!$L$5:$L$88&gt;$A120))</f>
        <v>0</v>
      </c>
      <c r="F120" s="48" t="n">
        <f aca="false">SUMPRODUCT((Costos!$C$5:$C$88=F$4)*Costos!$E$5:$E$88*(Costos!$K$5:$K$88&lt;=$A120)*(Costos!$L$5:$L$88&gt;$A120))</f>
        <v>0</v>
      </c>
      <c r="G120" s="48" t="n">
        <f aca="false">SUMPRODUCT((Costos!$C$5:$C$88=G$4)*Costos!$E$5:$E$88*(Costos!$K$5:$K$88&lt;=$A120)*(Costos!$L$5:$L$88&gt;$A120))</f>
        <v>0</v>
      </c>
      <c r="H120" s="48" t="n">
        <f aca="false">SUMPRODUCT((Costos!$C$5:$C$88=H$4)*Costos!$E$5:$E$88*(Costos!$K$5:$K$88&lt;=$A120)*(Costos!$L$5:$L$88&gt;$A120))</f>
        <v>0</v>
      </c>
      <c r="I120" s="48" t="n">
        <f aca="false">SUMPRODUCT((Costos!$C$5:$C$88=I$4)*Costos!$E$5:$E$88*(Costos!$K$5:$K$88&lt;=$A120)*(Costos!$L$5:$L$88&gt;$A120))</f>
        <v>0</v>
      </c>
      <c r="J120" s="48" t="n">
        <f aca="false">SUMPRODUCT((Costos!$C$5:$C$88=J$4)*Costos!$E$5:$E$88*(Costos!$K$5:$K$88&lt;=$A120)*(Costos!$L$5:$L$88&gt;$A120))</f>
        <v>0</v>
      </c>
      <c r="K120" s="48" t="n">
        <f aca="false">SUMPRODUCT((Costos!$C$5:$C$88=K$4)*Costos!$E$5:$E$88*(Costos!$K$5:$K$88&lt;=$A120)*(Costos!$L$5:$L$88&gt;$A120))</f>
        <v>0</v>
      </c>
      <c r="L120" s="48" t="n">
        <f aca="false">SUMPRODUCT((Costos!$C$5:$C$88=L$4)*Costos!$E$5:$E$88*(Costos!$K$5:$K$88&lt;=$A120)*(Costos!$L$5:$L$88&gt;$A120))</f>
        <v>0</v>
      </c>
      <c r="M120" s="48" t="n">
        <f aca="false">SUMPRODUCT((Costos!$C$5:$C$88=M$4)*Costos!$E$5:$E$88*(Costos!$K$5:$K$88&lt;=$A120)*(Costos!$L$5:$L$88&gt;$A120))</f>
        <v>0</v>
      </c>
      <c r="N120" s="48" t="n">
        <f aca="false">SUMPRODUCT((Costos!$C$5:$C$88=N$4)*Costos!$E$5:$E$88*(Costos!$K$5:$K$88&lt;=$A120)*(Costos!$L$5:$L$88&gt;$A120))</f>
        <v>0</v>
      </c>
    </row>
    <row r="121" customFormat="false" ht="15" hidden="false" customHeight="false" outlineLevel="0" collapsed="false">
      <c r="A121" s="26" t="n">
        <v>116</v>
      </c>
      <c r="B121" s="47" t="n">
        <f aca="false">INDEX(Calendario!$B$3:$B$172,A121+1)</f>
        <v>46475</v>
      </c>
      <c r="C121" s="48" t="n">
        <f aca="false">SUMPRODUCT((Costos!$C$5:$C$88=C$4)*Costos!$E$5:$E$88*(Costos!$K$5:$K$88&lt;=$A121)*(Costos!$L$5:$L$88&gt;$A121))</f>
        <v>0.5</v>
      </c>
      <c r="D121" s="48" t="n">
        <f aca="false">SUMPRODUCT((Costos!$C$5:$C$88=D$4)*Costos!$E$5:$E$88*(Costos!$K$5:$K$88&lt;=$A121)*(Costos!$L$5:$L$88&gt;$A121))</f>
        <v>0</v>
      </c>
      <c r="E121" s="48" t="n">
        <f aca="false">SUMPRODUCT((Costos!$C$5:$C$88=E$4)*Costos!$E$5:$E$88*(Costos!$K$5:$K$88&lt;=$A121)*(Costos!$L$5:$L$88&gt;$A121))</f>
        <v>0</v>
      </c>
      <c r="F121" s="48" t="n">
        <f aca="false">SUMPRODUCT((Costos!$C$5:$C$88=F$4)*Costos!$E$5:$E$88*(Costos!$K$5:$K$88&lt;=$A121)*(Costos!$L$5:$L$88&gt;$A121))</f>
        <v>0</v>
      </c>
      <c r="G121" s="48" t="n">
        <f aca="false">SUMPRODUCT((Costos!$C$5:$C$88=G$4)*Costos!$E$5:$E$88*(Costos!$K$5:$K$88&lt;=$A121)*(Costos!$L$5:$L$88&gt;$A121))</f>
        <v>0</v>
      </c>
      <c r="H121" s="48" t="n">
        <f aca="false">SUMPRODUCT((Costos!$C$5:$C$88=H$4)*Costos!$E$5:$E$88*(Costos!$K$5:$K$88&lt;=$A121)*(Costos!$L$5:$L$88&gt;$A121))</f>
        <v>0</v>
      </c>
      <c r="I121" s="48" t="n">
        <f aca="false">SUMPRODUCT((Costos!$C$5:$C$88=I$4)*Costos!$E$5:$E$88*(Costos!$K$5:$K$88&lt;=$A121)*(Costos!$L$5:$L$88&gt;$A121))</f>
        <v>0</v>
      </c>
      <c r="J121" s="48" t="n">
        <f aca="false">SUMPRODUCT((Costos!$C$5:$C$88=J$4)*Costos!$E$5:$E$88*(Costos!$K$5:$K$88&lt;=$A121)*(Costos!$L$5:$L$88&gt;$A121))</f>
        <v>0</v>
      </c>
      <c r="K121" s="48" t="n">
        <f aca="false">SUMPRODUCT((Costos!$C$5:$C$88=K$4)*Costos!$E$5:$E$88*(Costos!$K$5:$K$88&lt;=$A121)*(Costos!$L$5:$L$88&gt;$A121))</f>
        <v>0</v>
      </c>
      <c r="L121" s="48" t="n">
        <f aca="false">SUMPRODUCT((Costos!$C$5:$C$88=L$4)*Costos!$E$5:$E$88*(Costos!$K$5:$K$88&lt;=$A121)*(Costos!$L$5:$L$88&gt;$A121))</f>
        <v>0</v>
      </c>
      <c r="M121" s="48" t="n">
        <f aca="false">SUMPRODUCT((Costos!$C$5:$C$88=M$4)*Costos!$E$5:$E$88*(Costos!$K$5:$K$88&lt;=$A121)*(Costos!$L$5:$L$88&gt;$A121))</f>
        <v>0</v>
      </c>
      <c r="N121" s="48" t="n">
        <f aca="false">SUMPRODUCT((Costos!$C$5:$C$88=N$4)*Costos!$E$5:$E$88*(Costos!$K$5:$K$88&lt;=$A121)*(Costos!$L$5:$L$88&gt;$A121))</f>
        <v>0</v>
      </c>
    </row>
    <row r="122" customFormat="false" ht="15" hidden="false" customHeight="false" outlineLevel="0" collapsed="false">
      <c r="A122" s="26" t="n">
        <v>117</v>
      </c>
      <c r="B122" s="47" t="n">
        <f aca="false">INDEX(Calendario!$B$3:$B$172,A122+1)</f>
        <v>46476</v>
      </c>
      <c r="C122" s="48" t="n">
        <f aca="false">SUMPRODUCT((Costos!$C$5:$C$88=C$4)*Costos!$E$5:$E$88*(Costos!$K$5:$K$88&lt;=$A122)*(Costos!$L$5:$L$88&gt;$A122))</f>
        <v>0.5</v>
      </c>
      <c r="D122" s="48" t="n">
        <f aca="false">SUMPRODUCT((Costos!$C$5:$C$88=D$4)*Costos!$E$5:$E$88*(Costos!$K$5:$K$88&lt;=$A122)*(Costos!$L$5:$L$88&gt;$A122))</f>
        <v>0</v>
      </c>
      <c r="E122" s="48" t="n">
        <f aca="false">SUMPRODUCT((Costos!$C$5:$C$88=E$4)*Costos!$E$5:$E$88*(Costos!$K$5:$K$88&lt;=$A122)*(Costos!$L$5:$L$88&gt;$A122))</f>
        <v>0</v>
      </c>
      <c r="F122" s="48" t="n">
        <f aca="false">SUMPRODUCT((Costos!$C$5:$C$88=F$4)*Costos!$E$5:$E$88*(Costos!$K$5:$K$88&lt;=$A122)*(Costos!$L$5:$L$88&gt;$A122))</f>
        <v>0</v>
      </c>
      <c r="G122" s="48" t="n">
        <f aca="false">SUMPRODUCT((Costos!$C$5:$C$88=G$4)*Costos!$E$5:$E$88*(Costos!$K$5:$K$88&lt;=$A122)*(Costos!$L$5:$L$88&gt;$A122))</f>
        <v>0</v>
      </c>
      <c r="H122" s="48" t="n">
        <f aca="false">SUMPRODUCT((Costos!$C$5:$C$88=H$4)*Costos!$E$5:$E$88*(Costos!$K$5:$K$88&lt;=$A122)*(Costos!$L$5:$L$88&gt;$A122))</f>
        <v>0</v>
      </c>
      <c r="I122" s="48" t="n">
        <f aca="false">SUMPRODUCT((Costos!$C$5:$C$88=I$4)*Costos!$E$5:$E$88*(Costos!$K$5:$K$88&lt;=$A122)*(Costos!$L$5:$L$88&gt;$A122))</f>
        <v>0</v>
      </c>
      <c r="J122" s="48" t="n">
        <f aca="false">SUMPRODUCT((Costos!$C$5:$C$88=J$4)*Costos!$E$5:$E$88*(Costos!$K$5:$K$88&lt;=$A122)*(Costos!$L$5:$L$88&gt;$A122))</f>
        <v>0</v>
      </c>
      <c r="K122" s="48" t="n">
        <f aca="false">SUMPRODUCT((Costos!$C$5:$C$88=K$4)*Costos!$E$5:$E$88*(Costos!$K$5:$K$88&lt;=$A122)*(Costos!$L$5:$L$88&gt;$A122))</f>
        <v>0</v>
      </c>
      <c r="L122" s="48" t="n">
        <f aca="false">SUMPRODUCT((Costos!$C$5:$C$88=L$4)*Costos!$E$5:$E$88*(Costos!$K$5:$K$88&lt;=$A122)*(Costos!$L$5:$L$88&gt;$A122))</f>
        <v>0</v>
      </c>
      <c r="M122" s="48" t="n">
        <f aca="false">SUMPRODUCT((Costos!$C$5:$C$88=M$4)*Costos!$E$5:$E$88*(Costos!$K$5:$K$88&lt;=$A122)*(Costos!$L$5:$L$88&gt;$A122))</f>
        <v>0</v>
      </c>
      <c r="N122" s="48" t="n">
        <f aca="false">SUMPRODUCT((Costos!$C$5:$C$88=N$4)*Costos!$E$5:$E$88*(Costos!$K$5:$K$88&lt;=$A122)*(Costos!$L$5:$L$88&gt;$A122))</f>
        <v>0</v>
      </c>
    </row>
    <row r="123" customFormat="false" ht="15" hidden="false" customHeight="false" outlineLevel="0" collapsed="false">
      <c r="A123" s="26" t="n">
        <v>118</v>
      </c>
      <c r="B123" s="47" t="n">
        <f aca="false">INDEX(Calendario!$B$3:$B$172,A123+1)</f>
        <v>46477</v>
      </c>
      <c r="C123" s="48" t="n">
        <f aca="false">SUMPRODUCT((Costos!$C$5:$C$88=C$4)*Costos!$E$5:$E$88*(Costos!$K$5:$K$88&lt;=$A123)*(Costos!$L$5:$L$88&gt;$A123))</f>
        <v>0.7</v>
      </c>
      <c r="D123" s="48" t="n">
        <f aca="false">SUMPRODUCT((Costos!$C$5:$C$88=D$4)*Costos!$E$5:$E$88*(Costos!$K$5:$K$88&lt;=$A123)*(Costos!$L$5:$L$88&gt;$A123))</f>
        <v>0.3</v>
      </c>
      <c r="E123" s="48" t="n">
        <f aca="false">SUMPRODUCT((Costos!$C$5:$C$88=E$4)*Costos!$E$5:$E$88*(Costos!$K$5:$K$88&lt;=$A123)*(Costos!$L$5:$L$88&gt;$A123))</f>
        <v>0.2</v>
      </c>
      <c r="F123" s="48" t="n">
        <f aca="false">SUMPRODUCT((Costos!$C$5:$C$88=F$4)*Costos!$E$5:$E$88*(Costos!$K$5:$K$88&lt;=$A123)*(Costos!$L$5:$L$88&gt;$A123))</f>
        <v>1.5</v>
      </c>
      <c r="G123" s="48" t="n">
        <f aca="false">SUMPRODUCT((Costos!$C$5:$C$88=G$4)*Costos!$E$5:$E$88*(Costos!$K$5:$K$88&lt;=$A123)*(Costos!$L$5:$L$88&gt;$A123))</f>
        <v>0.5</v>
      </c>
      <c r="H123" s="48" t="n">
        <f aca="false">SUMPRODUCT((Costos!$C$5:$C$88=H$4)*Costos!$E$5:$E$88*(Costos!$K$5:$K$88&lt;=$A123)*(Costos!$L$5:$L$88&gt;$A123))</f>
        <v>0</v>
      </c>
      <c r="I123" s="48" t="n">
        <f aca="false">SUMPRODUCT((Costos!$C$5:$C$88=I$4)*Costos!$E$5:$E$88*(Costos!$K$5:$K$88&lt;=$A123)*(Costos!$L$5:$L$88&gt;$A123))</f>
        <v>0.5</v>
      </c>
      <c r="J123" s="48" t="n">
        <f aca="false">SUMPRODUCT((Costos!$C$5:$C$88=J$4)*Costos!$E$5:$E$88*(Costos!$K$5:$K$88&lt;=$A123)*(Costos!$L$5:$L$88&gt;$A123))</f>
        <v>0</v>
      </c>
      <c r="K123" s="48" t="n">
        <f aca="false">SUMPRODUCT((Costos!$C$5:$C$88=K$4)*Costos!$E$5:$E$88*(Costos!$K$5:$K$88&lt;=$A123)*(Costos!$L$5:$L$88&gt;$A123))</f>
        <v>0.3</v>
      </c>
      <c r="L123" s="48" t="n">
        <f aca="false">SUMPRODUCT((Costos!$C$5:$C$88=L$4)*Costos!$E$5:$E$88*(Costos!$K$5:$K$88&lt;=$A123)*(Costos!$L$5:$L$88&gt;$A123))</f>
        <v>0</v>
      </c>
      <c r="M123" s="48" t="n">
        <f aca="false">SUMPRODUCT((Costos!$C$5:$C$88=M$4)*Costos!$E$5:$E$88*(Costos!$K$5:$K$88&lt;=$A123)*(Costos!$L$5:$L$88&gt;$A123))</f>
        <v>0.5</v>
      </c>
      <c r="N123" s="48" t="n">
        <f aca="false">SUMPRODUCT((Costos!$C$5:$C$88=N$4)*Costos!$E$5:$E$88*(Costos!$K$5:$K$88&lt;=$A123)*(Costos!$L$5:$L$88&gt;$A123))</f>
        <v>0</v>
      </c>
    </row>
    <row r="124" customFormat="false" ht="15" hidden="false" customHeight="false" outlineLevel="0" collapsed="false">
      <c r="A124" s="26" t="n">
        <v>119</v>
      </c>
      <c r="B124" s="47" t="n">
        <f aca="false">INDEX(Calendario!$B$3:$B$172,A124+1)</f>
        <v>46478</v>
      </c>
      <c r="C124" s="48" t="n">
        <f aca="false">SUMPRODUCT((Costos!$C$5:$C$88=C$4)*Costos!$E$5:$E$88*(Costos!$K$5:$K$88&lt;=$A124)*(Costos!$L$5:$L$88&gt;$A124))</f>
        <v>0.7</v>
      </c>
      <c r="D124" s="48" t="n">
        <f aca="false">SUMPRODUCT((Costos!$C$5:$C$88=D$4)*Costos!$E$5:$E$88*(Costos!$K$5:$K$88&lt;=$A124)*(Costos!$L$5:$L$88&gt;$A124))</f>
        <v>0.3</v>
      </c>
      <c r="E124" s="48" t="n">
        <f aca="false">SUMPRODUCT((Costos!$C$5:$C$88=E$4)*Costos!$E$5:$E$88*(Costos!$K$5:$K$88&lt;=$A124)*(Costos!$L$5:$L$88&gt;$A124))</f>
        <v>0.2</v>
      </c>
      <c r="F124" s="48" t="n">
        <f aca="false">SUMPRODUCT((Costos!$C$5:$C$88=F$4)*Costos!$E$5:$E$88*(Costos!$K$5:$K$88&lt;=$A124)*(Costos!$L$5:$L$88&gt;$A124))</f>
        <v>1.5</v>
      </c>
      <c r="G124" s="48" t="n">
        <f aca="false">SUMPRODUCT((Costos!$C$5:$C$88=G$4)*Costos!$E$5:$E$88*(Costos!$K$5:$K$88&lt;=$A124)*(Costos!$L$5:$L$88&gt;$A124))</f>
        <v>0.5</v>
      </c>
      <c r="H124" s="48" t="n">
        <f aca="false">SUMPRODUCT((Costos!$C$5:$C$88=H$4)*Costos!$E$5:$E$88*(Costos!$K$5:$K$88&lt;=$A124)*(Costos!$L$5:$L$88&gt;$A124))</f>
        <v>0</v>
      </c>
      <c r="I124" s="48" t="n">
        <f aca="false">SUMPRODUCT((Costos!$C$5:$C$88=I$4)*Costos!$E$5:$E$88*(Costos!$K$5:$K$88&lt;=$A124)*(Costos!$L$5:$L$88&gt;$A124))</f>
        <v>0.5</v>
      </c>
      <c r="J124" s="48" t="n">
        <f aca="false">SUMPRODUCT((Costos!$C$5:$C$88=J$4)*Costos!$E$5:$E$88*(Costos!$K$5:$K$88&lt;=$A124)*(Costos!$L$5:$L$88&gt;$A124))</f>
        <v>0</v>
      </c>
      <c r="K124" s="48" t="n">
        <f aca="false">SUMPRODUCT((Costos!$C$5:$C$88=K$4)*Costos!$E$5:$E$88*(Costos!$K$5:$K$88&lt;=$A124)*(Costos!$L$5:$L$88&gt;$A124))</f>
        <v>0.3</v>
      </c>
      <c r="L124" s="48" t="n">
        <f aca="false">SUMPRODUCT((Costos!$C$5:$C$88=L$4)*Costos!$E$5:$E$88*(Costos!$K$5:$K$88&lt;=$A124)*(Costos!$L$5:$L$88&gt;$A124))</f>
        <v>0</v>
      </c>
      <c r="M124" s="48" t="n">
        <f aca="false">SUMPRODUCT((Costos!$C$5:$C$88=M$4)*Costos!$E$5:$E$88*(Costos!$K$5:$K$88&lt;=$A124)*(Costos!$L$5:$L$88&gt;$A124))</f>
        <v>0.5</v>
      </c>
      <c r="N124" s="48" t="n">
        <f aca="false">SUMPRODUCT((Costos!$C$5:$C$88=N$4)*Costos!$E$5:$E$88*(Costos!$K$5:$K$88&lt;=$A124)*(Costos!$L$5:$L$88&gt;$A124))</f>
        <v>0</v>
      </c>
    </row>
    <row r="125" customFormat="false" ht="15" hidden="false" customHeight="false" outlineLevel="0" collapsed="false">
      <c r="A125" s="26" t="n">
        <v>120</v>
      </c>
      <c r="B125" s="47" t="n">
        <f aca="false">INDEX(Calendario!$B$3:$B$172,A125+1)</f>
        <v>46482</v>
      </c>
      <c r="C125" s="48" t="n">
        <f aca="false">SUMPRODUCT((Costos!$C$5:$C$88=C$4)*Costos!$E$5:$E$88*(Costos!$K$5:$K$88&lt;=$A125)*(Costos!$L$5:$L$88&gt;$A125))</f>
        <v>0.7</v>
      </c>
      <c r="D125" s="48" t="n">
        <f aca="false">SUMPRODUCT((Costos!$C$5:$C$88=D$4)*Costos!$E$5:$E$88*(Costos!$K$5:$K$88&lt;=$A125)*(Costos!$L$5:$L$88&gt;$A125))</f>
        <v>0.3</v>
      </c>
      <c r="E125" s="48" t="n">
        <f aca="false">SUMPRODUCT((Costos!$C$5:$C$88=E$4)*Costos!$E$5:$E$88*(Costos!$K$5:$K$88&lt;=$A125)*(Costos!$L$5:$L$88&gt;$A125))</f>
        <v>0.2</v>
      </c>
      <c r="F125" s="48" t="n">
        <f aca="false">SUMPRODUCT((Costos!$C$5:$C$88=F$4)*Costos!$E$5:$E$88*(Costos!$K$5:$K$88&lt;=$A125)*(Costos!$L$5:$L$88&gt;$A125))</f>
        <v>1.5</v>
      </c>
      <c r="G125" s="48" t="n">
        <f aca="false">SUMPRODUCT((Costos!$C$5:$C$88=G$4)*Costos!$E$5:$E$88*(Costos!$K$5:$K$88&lt;=$A125)*(Costos!$L$5:$L$88&gt;$A125))</f>
        <v>0.5</v>
      </c>
      <c r="H125" s="48" t="n">
        <f aca="false">SUMPRODUCT((Costos!$C$5:$C$88=H$4)*Costos!$E$5:$E$88*(Costos!$K$5:$K$88&lt;=$A125)*(Costos!$L$5:$L$88&gt;$A125))</f>
        <v>0</v>
      </c>
      <c r="I125" s="48" t="n">
        <f aca="false">SUMPRODUCT((Costos!$C$5:$C$88=I$4)*Costos!$E$5:$E$88*(Costos!$K$5:$K$88&lt;=$A125)*(Costos!$L$5:$L$88&gt;$A125))</f>
        <v>0.5</v>
      </c>
      <c r="J125" s="48" t="n">
        <f aca="false">SUMPRODUCT((Costos!$C$5:$C$88=J$4)*Costos!$E$5:$E$88*(Costos!$K$5:$K$88&lt;=$A125)*(Costos!$L$5:$L$88&gt;$A125))</f>
        <v>0</v>
      </c>
      <c r="K125" s="48" t="n">
        <f aca="false">SUMPRODUCT((Costos!$C$5:$C$88=K$4)*Costos!$E$5:$E$88*(Costos!$K$5:$K$88&lt;=$A125)*(Costos!$L$5:$L$88&gt;$A125))</f>
        <v>0.3</v>
      </c>
      <c r="L125" s="48" t="n">
        <f aca="false">SUMPRODUCT((Costos!$C$5:$C$88=L$4)*Costos!$E$5:$E$88*(Costos!$K$5:$K$88&lt;=$A125)*(Costos!$L$5:$L$88&gt;$A125))</f>
        <v>0</v>
      </c>
      <c r="M125" s="48" t="n">
        <f aca="false">SUMPRODUCT((Costos!$C$5:$C$88=M$4)*Costos!$E$5:$E$88*(Costos!$K$5:$K$88&lt;=$A125)*(Costos!$L$5:$L$88&gt;$A125))</f>
        <v>0.5</v>
      </c>
      <c r="N125" s="48" t="n">
        <f aca="false">SUMPRODUCT((Costos!$C$5:$C$88=N$4)*Costos!$E$5:$E$88*(Costos!$K$5:$K$88&lt;=$A125)*(Costos!$L$5:$L$88&gt;$A125))</f>
        <v>0</v>
      </c>
    </row>
    <row r="126" customFormat="false" ht="15" hidden="false" customHeight="false" outlineLevel="0" collapsed="false">
      <c r="A126" s="26" t="n">
        <v>121</v>
      </c>
      <c r="B126" s="47" t="n">
        <f aca="false">INDEX(Calendario!$B$3:$B$172,A126+1)</f>
        <v>46483</v>
      </c>
      <c r="C126" s="48" t="n">
        <f aca="false">SUMPRODUCT((Costos!$C$5:$C$88=C$4)*Costos!$E$5:$E$88*(Costos!$K$5:$K$88&lt;=$A126)*(Costos!$L$5:$L$88&gt;$A126))</f>
        <v>0.7</v>
      </c>
      <c r="D126" s="48" t="n">
        <f aca="false">SUMPRODUCT((Costos!$C$5:$C$88=D$4)*Costos!$E$5:$E$88*(Costos!$K$5:$K$88&lt;=$A126)*(Costos!$L$5:$L$88&gt;$A126))</f>
        <v>0.3</v>
      </c>
      <c r="E126" s="48" t="n">
        <f aca="false">SUMPRODUCT((Costos!$C$5:$C$88=E$4)*Costos!$E$5:$E$88*(Costos!$K$5:$K$88&lt;=$A126)*(Costos!$L$5:$L$88&gt;$A126))</f>
        <v>0.2</v>
      </c>
      <c r="F126" s="48" t="n">
        <f aca="false">SUMPRODUCT((Costos!$C$5:$C$88=F$4)*Costos!$E$5:$E$88*(Costos!$K$5:$K$88&lt;=$A126)*(Costos!$L$5:$L$88&gt;$A126))</f>
        <v>1.5</v>
      </c>
      <c r="G126" s="48" t="n">
        <f aca="false">SUMPRODUCT((Costos!$C$5:$C$88=G$4)*Costos!$E$5:$E$88*(Costos!$K$5:$K$88&lt;=$A126)*(Costos!$L$5:$L$88&gt;$A126))</f>
        <v>0.5</v>
      </c>
      <c r="H126" s="48" t="n">
        <f aca="false">SUMPRODUCT((Costos!$C$5:$C$88=H$4)*Costos!$E$5:$E$88*(Costos!$K$5:$K$88&lt;=$A126)*(Costos!$L$5:$L$88&gt;$A126))</f>
        <v>0</v>
      </c>
      <c r="I126" s="48" t="n">
        <f aca="false">SUMPRODUCT((Costos!$C$5:$C$88=I$4)*Costos!$E$5:$E$88*(Costos!$K$5:$K$88&lt;=$A126)*(Costos!$L$5:$L$88&gt;$A126))</f>
        <v>0.5</v>
      </c>
      <c r="J126" s="48" t="n">
        <f aca="false">SUMPRODUCT((Costos!$C$5:$C$88=J$4)*Costos!$E$5:$E$88*(Costos!$K$5:$K$88&lt;=$A126)*(Costos!$L$5:$L$88&gt;$A126))</f>
        <v>0</v>
      </c>
      <c r="K126" s="48" t="n">
        <f aca="false">SUMPRODUCT((Costos!$C$5:$C$88=K$4)*Costos!$E$5:$E$88*(Costos!$K$5:$K$88&lt;=$A126)*(Costos!$L$5:$L$88&gt;$A126))</f>
        <v>0.3</v>
      </c>
      <c r="L126" s="48" t="n">
        <f aca="false">SUMPRODUCT((Costos!$C$5:$C$88=L$4)*Costos!$E$5:$E$88*(Costos!$K$5:$K$88&lt;=$A126)*(Costos!$L$5:$L$88&gt;$A126))</f>
        <v>0</v>
      </c>
      <c r="M126" s="48" t="n">
        <f aca="false">SUMPRODUCT((Costos!$C$5:$C$88=M$4)*Costos!$E$5:$E$88*(Costos!$K$5:$K$88&lt;=$A126)*(Costos!$L$5:$L$88&gt;$A126))</f>
        <v>0.5</v>
      </c>
      <c r="N126" s="48" t="n">
        <f aca="false">SUMPRODUCT((Costos!$C$5:$C$88=N$4)*Costos!$E$5:$E$88*(Costos!$K$5:$K$88&lt;=$A126)*(Costos!$L$5:$L$88&gt;$A126))</f>
        <v>0</v>
      </c>
    </row>
    <row r="127" customFormat="false" ht="15" hidden="false" customHeight="false" outlineLevel="0" collapsed="false">
      <c r="A127" s="26" t="n">
        <v>122</v>
      </c>
      <c r="B127" s="47" t="n">
        <f aca="false">INDEX(Calendario!$B$3:$B$172,A127+1)</f>
        <v>46484</v>
      </c>
      <c r="C127" s="48" t="n">
        <f aca="false">SUMPRODUCT((Costos!$C$5:$C$88=C$4)*Costos!$E$5:$E$88*(Costos!$K$5:$K$88&lt;=$A127)*(Costos!$L$5:$L$88&gt;$A127))</f>
        <v>0.7</v>
      </c>
      <c r="D127" s="48" t="n">
        <f aca="false">SUMPRODUCT((Costos!$C$5:$C$88=D$4)*Costos!$E$5:$E$88*(Costos!$K$5:$K$88&lt;=$A127)*(Costos!$L$5:$L$88&gt;$A127))</f>
        <v>0.3</v>
      </c>
      <c r="E127" s="48" t="n">
        <f aca="false">SUMPRODUCT((Costos!$C$5:$C$88=E$4)*Costos!$E$5:$E$88*(Costos!$K$5:$K$88&lt;=$A127)*(Costos!$L$5:$L$88&gt;$A127))</f>
        <v>0.2</v>
      </c>
      <c r="F127" s="48" t="n">
        <f aca="false">SUMPRODUCT((Costos!$C$5:$C$88=F$4)*Costos!$E$5:$E$88*(Costos!$K$5:$K$88&lt;=$A127)*(Costos!$L$5:$L$88&gt;$A127))</f>
        <v>1.5</v>
      </c>
      <c r="G127" s="48" t="n">
        <f aca="false">SUMPRODUCT((Costos!$C$5:$C$88=G$4)*Costos!$E$5:$E$88*(Costos!$K$5:$K$88&lt;=$A127)*(Costos!$L$5:$L$88&gt;$A127))</f>
        <v>0.5</v>
      </c>
      <c r="H127" s="48" t="n">
        <f aca="false">SUMPRODUCT((Costos!$C$5:$C$88=H$4)*Costos!$E$5:$E$88*(Costos!$K$5:$K$88&lt;=$A127)*(Costos!$L$5:$L$88&gt;$A127))</f>
        <v>0</v>
      </c>
      <c r="I127" s="48" t="n">
        <f aca="false">SUMPRODUCT((Costos!$C$5:$C$88=I$4)*Costos!$E$5:$E$88*(Costos!$K$5:$K$88&lt;=$A127)*(Costos!$L$5:$L$88&gt;$A127))</f>
        <v>0.5</v>
      </c>
      <c r="J127" s="48" t="n">
        <f aca="false">SUMPRODUCT((Costos!$C$5:$C$88=J$4)*Costos!$E$5:$E$88*(Costos!$K$5:$K$88&lt;=$A127)*(Costos!$L$5:$L$88&gt;$A127))</f>
        <v>0</v>
      </c>
      <c r="K127" s="48" t="n">
        <f aca="false">SUMPRODUCT((Costos!$C$5:$C$88=K$4)*Costos!$E$5:$E$88*(Costos!$K$5:$K$88&lt;=$A127)*(Costos!$L$5:$L$88&gt;$A127))</f>
        <v>0.3</v>
      </c>
      <c r="L127" s="48" t="n">
        <f aca="false">SUMPRODUCT((Costos!$C$5:$C$88=L$4)*Costos!$E$5:$E$88*(Costos!$K$5:$K$88&lt;=$A127)*(Costos!$L$5:$L$88&gt;$A127))</f>
        <v>0</v>
      </c>
      <c r="M127" s="48" t="n">
        <f aca="false">SUMPRODUCT((Costos!$C$5:$C$88=M$4)*Costos!$E$5:$E$88*(Costos!$K$5:$K$88&lt;=$A127)*(Costos!$L$5:$L$88&gt;$A127))</f>
        <v>0.5</v>
      </c>
      <c r="N127" s="48" t="n">
        <f aca="false">SUMPRODUCT((Costos!$C$5:$C$88=N$4)*Costos!$E$5:$E$88*(Costos!$K$5:$K$88&lt;=$A127)*(Costos!$L$5:$L$88&gt;$A127))</f>
        <v>0</v>
      </c>
    </row>
    <row r="128" customFormat="false" ht="15" hidden="false" customHeight="false" outlineLevel="0" collapsed="false">
      <c r="A128" s="26" t="n">
        <v>123</v>
      </c>
      <c r="B128" s="47" t="n">
        <f aca="false">INDEX(Calendario!$B$3:$B$172,A128+1)</f>
        <v>46485</v>
      </c>
      <c r="C128" s="48" t="n">
        <f aca="false">SUMPRODUCT((Costos!$C$5:$C$88=C$4)*Costos!$E$5:$E$88*(Costos!$K$5:$K$88&lt;=$A128)*(Costos!$L$5:$L$88&gt;$A128))</f>
        <v>0.7</v>
      </c>
      <c r="D128" s="48" t="n">
        <f aca="false">SUMPRODUCT((Costos!$C$5:$C$88=D$4)*Costos!$E$5:$E$88*(Costos!$K$5:$K$88&lt;=$A128)*(Costos!$L$5:$L$88&gt;$A128))</f>
        <v>0.3</v>
      </c>
      <c r="E128" s="48" t="n">
        <f aca="false">SUMPRODUCT((Costos!$C$5:$C$88=E$4)*Costos!$E$5:$E$88*(Costos!$K$5:$K$88&lt;=$A128)*(Costos!$L$5:$L$88&gt;$A128))</f>
        <v>0.2</v>
      </c>
      <c r="F128" s="48" t="n">
        <f aca="false">SUMPRODUCT((Costos!$C$5:$C$88=F$4)*Costos!$E$5:$E$88*(Costos!$K$5:$K$88&lt;=$A128)*(Costos!$L$5:$L$88&gt;$A128))</f>
        <v>1.5</v>
      </c>
      <c r="G128" s="48" t="n">
        <f aca="false">SUMPRODUCT((Costos!$C$5:$C$88=G$4)*Costos!$E$5:$E$88*(Costos!$K$5:$K$88&lt;=$A128)*(Costos!$L$5:$L$88&gt;$A128))</f>
        <v>0.5</v>
      </c>
      <c r="H128" s="48" t="n">
        <f aca="false">SUMPRODUCT((Costos!$C$5:$C$88=H$4)*Costos!$E$5:$E$88*(Costos!$K$5:$K$88&lt;=$A128)*(Costos!$L$5:$L$88&gt;$A128))</f>
        <v>0</v>
      </c>
      <c r="I128" s="48" t="n">
        <f aca="false">SUMPRODUCT((Costos!$C$5:$C$88=I$4)*Costos!$E$5:$E$88*(Costos!$K$5:$K$88&lt;=$A128)*(Costos!$L$5:$L$88&gt;$A128))</f>
        <v>0.5</v>
      </c>
      <c r="J128" s="48" t="n">
        <f aca="false">SUMPRODUCT((Costos!$C$5:$C$88=J$4)*Costos!$E$5:$E$88*(Costos!$K$5:$K$88&lt;=$A128)*(Costos!$L$5:$L$88&gt;$A128))</f>
        <v>0</v>
      </c>
      <c r="K128" s="48" t="n">
        <f aca="false">SUMPRODUCT((Costos!$C$5:$C$88=K$4)*Costos!$E$5:$E$88*(Costos!$K$5:$K$88&lt;=$A128)*(Costos!$L$5:$L$88&gt;$A128))</f>
        <v>0.3</v>
      </c>
      <c r="L128" s="48" t="n">
        <f aca="false">SUMPRODUCT((Costos!$C$5:$C$88=L$4)*Costos!$E$5:$E$88*(Costos!$K$5:$K$88&lt;=$A128)*(Costos!$L$5:$L$88&gt;$A128))</f>
        <v>0</v>
      </c>
      <c r="M128" s="48" t="n">
        <f aca="false">SUMPRODUCT((Costos!$C$5:$C$88=M$4)*Costos!$E$5:$E$88*(Costos!$K$5:$K$88&lt;=$A128)*(Costos!$L$5:$L$88&gt;$A128))</f>
        <v>0.5</v>
      </c>
      <c r="N128" s="48" t="n">
        <f aca="false">SUMPRODUCT((Costos!$C$5:$C$88=N$4)*Costos!$E$5:$E$88*(Costos!$K$5:$K$88&lt;=$A128)*(Costos!$L$5:$L$88&gt;$A128))</f>
        <v>0</v>
      </c>
    </row>
    <row r="129" customFormat="false" ht="15" hidden="false" customHeight="false" outlineLevel="0" collapsed="false">
      <c r="A129" s="26" t="n">
        <v>124</v>
      </c>
      <c r="B129" s="47" t="n">
        <f aca="false">INDEX(Calendario!$B$3:$B$172,A129+1)</f>
        <v>46486</v>
      </c>
      <c r="C129" s="48" t="n">
        <f aca="false">SUMPRODUCT((Costos!$C$5:$C$88=C$4)*Costos!$E$5:$E$88*(Costos!$K$5:$K$88&lt;=$A129)*(Costos!$L$5:$L$88&gt;$A129))</f>
        <v>0.7</v>
      </c>
      <c r="D129" s="48" t="n">
        <f aca="false">SUMPRODUCT((Costos!$C$5:$C$88=D$4)*Costos!$E$5:$E$88*(Costos!$K$5:$K$88&lt;=$A129)*(Costos!$L$5:$L$88&gt;$A129))</f>
        <v>0.3</v>
      </c>
      <c r="E129" s="48" t="n">
        <f aca="false">SUMPRODUCT((Costos!$C$5:$C$88=E$4)*Costos!$E$5:$E$88*(Costos!$K$5:$K$88&lt;=$A129)*(Costos!$L$5:$L$88&gt;$A129))</f>
        <v>0.2</v>
      </c>
      <c r="F129" s="48" t="n">
        <f aca="false">SUMPRODUCT((Costos!$C$5:$C$88=F$4)*Costos!$E$5:$E$88*(Costos!$K$5:$K$88&lt;=$A129)*(Costos!$L$5:$L$88&gt;$A129))</f>
        <v>1.5</v>
      </c>
      <c r="G129" s="48" t="n">
        <f aca="false">SUMPRODUCT((Costos!$C$5:$C$88=G$4)*Costos!$E$5:$E$88*(Costos!$K$5:$K$88&lt;=$A129)*(Costos!$L$5:$L$88&gt;$A129))</f>
        <v>0.5</v>
      </c>
      <c r="H129" s="48" t="n">
        <f aca="false">SUMPRODUCT((Costos!$C$5:$C$88=H$4)*Costos!$E$5:$E$88*(Costos!$K$5:$K$88&lt;=$A129)*(Costos!$L$5:$L$88&gt;$A129))</f>
        <v>0</v>
      </c>
      <c r="I129" s="48" t="n">
        <f aca="false">SUMPRODUCT((Costos!$C$5:$C$88=I$4)*Costos!$E$5:$E$88*(Costos!$K$5:$K$88&lt;=$A129)*(Costos!$L$5:$L$88&gt;$A129))</f>
        <v>0.5</v>
      </c>
      <c r="J129" s="48" t="n">
        <f aca="false">SUMPRODUCT((Costos!$C$5:$C$88=J$4)*Costos!$E$5:$E$88*(Costos!$K$5:$K$88&lt;=$A129)*(Costos!$L$5:$L$88&gt;$A129))</f>
        <v>0</v>
      </c>
      <c r="K129" s="48" t="n">
        <f aca="false">SUMPRODUCT((Costos!$C$5:$C$88=K$4)*Costos!$E$5:$E$88*(Costos!$K$5:$K$88&lt;=$A129)*(Costos!$L$5:$L$88&gt;$A129))</f>
        <v>0.3</v>
      </c>
      <c r="L129" s="48" t="n">
        <f aca="false">SUMPRODUCT((Costos!$C$5:$C$88=L$4)*Costos!$E$5:$E$88*(Costos!$K$5:$K$88&lt;=$A129)*(Costos!$L$5:$L$88&gt;$A129))</f>
        <v>0</v>
      </c>
      <c r="M129" s="48" t="n">
        <f aca="false">SUMPRODUCT((Costos!$C$5:$C$88=M$4)*Costos!$E$5:$E$88*(Costos!$K$5:$K$88&lt;=$A129)*(Costos!$L$5:$L$88&gt;$A129))</f>
        <v>0.5</v>
      </c>
      <c r="N129" s="48" t="n">
        <f aca="false">SUMPRODUCT((Costos!$C$5:$C$88=N$4)*Costos!$E$5:$E$88*(Costos!$K$5:$K$88&lt;=$A129)*(Costos!$L$5:$L$88&gt;$A129))</f>
        <v>0</v>
      </c>
    </row>
    <row r="130" customFormat="false" ht="15" hidden="false" customHeight="false" outlineLevel="0" collapsed="false">
      <c r="A130" s="26" t="n">
        <v>125</v>
      </c>
      <c r="B130" s="47" t="n">
        <f aca="false">INDEX(Calendario!$B$3:$B$172,A130+1)</f>
        <v>46489</v>
      </c>
      <c r="C130" s="48" t="n">
        <f aca="false">SUMPRODUCT((Costos!$C$5:$C$88=C$4)*Costos!$E$5:$E$88*(Costos!$K$5:$K$88&lt;=$A130)*(Costos!$L$5:$L$88&gt;$A130))</f>
        <v>0.7</v>
      </c>
      <c r="D130" s="48" t="n">
        <f aca="false">SUMPRODUCT((Costos!$C$5:$C$88=D$4)*Costos!$E$5:$E$88*(Costos!$K$5:$K$88&lt;=$A130)*(Costos!$L$5:$L$88&gt;$A130))</f>
        <v>0.3</v>
      </c>
      <c r="E130" s="48" t="n">
        <f aca="false">SUMPRODUCT((Costos!$C$5:$C$88=E$4)*Costos!$E$5:$E$88*(Costos!$K$5:$K$88&lt;=$A130)*(Costos!$L$5:$L$88&gt;$A130))</f>
        <v>0.2</v>
      </c>
      <c r="F130" s="48" t="n">
        <f aca="false">SUMPRODUCT((Costos!$C$5:$C$88=F$4)*Costos!$E$5:$E$88*(Costos!$K$5:$K$88&lt;=$A130)*(Costos!$L$5:$L$88&gt;$A130))</f>
        <v>1.5</v>
      </c>
      <c r="G130" s="48" t="n">
        <f aca="false">SUMPRODUCT((Costos!$C$5:$C$88=G$4)*Costos!$E$5:$E$88*(Costos!$K$5:$K$88&lt;=$A130)*(Costos!$L$5:$L$88&gt;$A130))</f>
        <v>0.5</v>
      </c>
      <c r="H130" s="48" t="n">
        <f aca="false">SUMPRODUCT((Costos!$C$5:$C$88=H$4)*Costos!$E$5:$E$88*(Costos!$K$5:$K$88&lt;=$A130)*(Costos!$L$5:$L$88&gt;$A130))</f>
        <v>0</v>
      </c>
      <c r="I130" s="48" t="n">
        <f aca="false">SUMPRODUCT((Costos!$C$5:$C$88=I$4)*Costos!$E$5:$E$88*(Costos!$K$5:$K$88&lt;=$A130)*(Costos!$L$5:$L$88&gt;$A130))</f>
        <v>0.5</v>
      </c>
      <c r="J130" s="48" t="n">
        <f aca="false">SUMPRODUCT((Costos!$C$5:$C$88=J$4)*Costos!$E$5:$E$88*(Costos!$K$5:$K$88&lt;=$A130)*(Costos!$L$5:$L$88&gt;$A130))</f>
        <v>0</v>
      </c>
      <c r="K130" s="48" t="n">
        <f aca="false">SUMPRODUCT((Costos!$C$5:$C$88=K$4)*Costos!$E$5:$E$88*(Costos!$K$5:$K$88&lt;=$A130)*(Costos!$L$5:$L$88&gt;$A130))</f>
        <v>0.3</v>
      </c>
      <c r="L130" s="48" t="n">
        <f aca="false">SUMPRODUCT((Costos!$C$5:$C$88=L$4)*Costos!$E$5:$E$88*(Costos!$K$5:$K$88&lt;=$A130)*(Costos!$L$5:$L$88&gt;$A130))</f>
        <v>0</v>
      </c>
      <c r="M130" s="48" t="n">
        <f aca="false">SUMPRODUCT((Costos!$C$5:$C$88=M$4)*Costos!$E$5:$E$88*(Costos!$K$5:$K$88&lt;=$A130)*(Costos!$L$5:$L$88&gt;$A130))</f>
        <v>0.5</v>
      </c>
      <c r="N130" s="48" t="n">
        <f aca="false">SUMPRODUCT((Costos!$C$5:$C$88=N$4)*Costos!$E$5:$E$88*(Costos!$K$5:$K$88&lt;=$A130)*(Costos!$L$5:$L$88&gt;$A130))</f>
        <v>0</v>
      </c>
    </row>
    <row r="131" customFormat="false" ht="15" hidden="false" customHeight="false" outlineLevel="0" collapsed="false">
      <c r="A131" s="26" t="n">
        <v>126</v>
      </c>
      <c r="B131" s="47" t="n">
        <f aca="false">INDEX(Calendario!$B$3:$B$172,A131+1)</f>
        <v>46490</v>
      </c>
      <c r="C131" s="48" t="n">
        <f aca="false">SUMPRODUCT((Costos!$C$5:$C$88=C$4)*Costos!$E$5:$E$88*(Costos!$K$5:$K$88&lt;=$A131)*(Costos!$L$5:$L$88&gt;$A131))</f>
        <v>0.7</v>
      </c>
      <c r="D131" s="48" t="n">
        <f aca="false">SUMPRODUCT((Costos!$C$5:$C$88=D$4)*Costos!$E$5:$E$88*(Costos!$K$5:$K$88&lt;=$A131)*(Costos!$L$5:$L$88&gt;$A131))</f>
        <v>0.3</v>
      </c>
      <c r="E131" s="48" t="n">
        <f aca="false">SUMPRODUCT((Costos!$C$5:$C$88=E$4)*Costos!$E$5:$E$88*(Costos!$K$5:$K$88&lt;=$A131)*(Costos!$L$5:$L$88&gt;$A131))</f>
        <v>0.2</v>
      </c>
      <c r="F131" s="48" t="n">
        <f aca="false">SUMPRODUCT((Costos!$C$5:$C$88=F$4)*Costos!$E$5:$E$88*(Costos!$K$5:$K$88&lt;=$A131)*(Costos!$L$5:$L$88&gt;$A131))</f>
        <v>1.5</v>
      </c>
      <c r="G131" s="48" t="n">
        <f aca="false">SUMPRODUCT((Costos!$C$5:$C$88=G$4)*Costos!$E$5:$E$88*(Costos!$K$5:$K$88&lt;=$A131)*(Costos!$L$5:$L$88&gt;$A131))</f>
        <v>0.5</v>
      </c>
      <c r="H131" s="48" t="n">
        <f aca="false">SUMPRODUCT((Costos!$C$5:$C$88=H$4)*Costos!$E$5:$E$88*(Costos!$K$5:$K$88&lt;=$A131)*(Costos!$L$5:$L$88&gt;$A131))</f>
        <v>0</v>
      </c>
      <c r="I131" s="48" t="n">
        <f aca="false">SUMPRODUCT((Costos!$C$5:$C$88=I$4)*Costos!$E$5:$E$88*(Costos!$K$5:$K$88&lt;=$A131)*(Costos!$L$5:$L$88&gt;$A131))</f>
        <v>0.5</v>
      </c>
      <c r="J131" s="48" t="n">
        <f aca="false">SUMPRODUCT((Costos!$C$5:$C$88=J$4)*Costos!$E$5:$E$88*(Costos!$K$5:$K$88&lt;=$A131)*(Costos!$L$5:$L$88&gt;$A131))</f>
        <v>0</v>
      </c>
      <c r="K131" s="48" t="n">
        <f aca="false">SUMPRODUCT((Costos!$C$5:$C$88=K$4)*Costos!$E$5:$E$88*(Costos!$K$5:$K$88&lt;=$A131)*(Costos!$L$5:$L$88&gt;$A131))</f>
        <v>0.3</v>
      </c>
      <c r="L131" s="48" t="n">
        <f aca="false">SUMPRODUCT((Costos!$C$5:$C$88=L$4)*Costos!$E$5:$E$88*(Costos!$K$5:$K$88&lt;=$A131)*(Costos!$L$5:$L$88&gt;$A131))</f>
        <v>0</v>
      </c>
      <c r="M131" s="48" t="n">
        <f aca="false">SUMPRODUCT((Costos!$C$5:$C$88=M$4)*Costos!$E$5:$E$88*(Costos!$K$5:$K$88&lt;=$A131)*(Costos!$L$5:$L$88&gt;$A131))</f>
        <v>0.5</v>
      </c>
      <c r="N131" s="48" t="n">
        <f aca="false">SUMPRODUCT((Costos!$C$5:$C$88=N$4)*Costos!$E$5:$E$88*(Costos!$K$5:$K$88&lt;=$A131)*(Costos!$L$5:$L$88&gt;$A131))</f>
        <v>0</v>
      </c>
    </row>
    <row r="132" customFormat="false" ht="15" hidden="false" customHeight="false" outlineLevel="0" collapsed="false">
      <c r="A132" s="26" t="n">
        <v>127</v>
      </c>
      <c r="B132" s="47" t="n">
        <f aca="false">INDEX(Calendario!$B$3:$B$172,A132+1)</f>
        <v>46491</v>
      </c>
      <c r="C132" s="48" t="n">
        <f aca="false">SUMPRODUCT((Costos!$C$5:$C$88=C$4)*Costos!$E$5:$E$88*(Costos!$K$5:$K$88&lt;=$A132)*(Costos!$L$5:$L$88&gt;$A132))</f>
        <v>0.7</v>
      </c>
      <c r="D132" s="48" t="n">
        <f aca="false">SUMPRODUCT((Costos!$C$5:$C$88=D$4)*Costos!$E$5:$E$88*(Costos!$K$5:$K$88&lt;=$A132)*(Costos!$L$5:$L$88&gt;$A132))</f>
        <v>0.3</v>
      </c>
      <c r="E132" s="48" t="n">
        <f aca="false">SUMPRODUCT((Costos!$C$5:$C$88=E$4)*Costos!$E$5:$E$88*(Costos!$K$5:$K$88&lt;=$A132)*(Costos!$L$5:$L$88&gt;$A132))</f>
        <v>0.2</v>
      </c>
      <c r="F132" s="48" t="n">
        <f aca="false">SUMPRODUCT((Costos!$C$5:$C$88=F$4)*Costos!$E$5:$E$88*(Costos!$K$5:$K$88&lt;=$A132)*(Costos!$L$5:$L$88&gt;$A132))</f>
        <v>1.5</v>
      </c>
      <c r="G132" s="48" t="n">
        <f aca="false">SUMPRODUCT((Costos!$C$5:$C$88=G$4)*Costos!$E$5:$E$88*(Costos!$K$5:$K$88&lt;=$A132)*(Costos!$L$5:$L$88&gt;$A132))</f>
        <v>0.5</v>
      </c>
      <c r="H132" s="48" t="n">
        <f aca="false">SUMPRODUCT((Costos!$C$5:$C$88=H$4)*Costos!$E$5:$E$88*(Costos!$K$5:$K$88&lt;=$A132)*(Costos!$L$5:$L$88&gt;$A132))</f>
        <v>0</v>
      </c>
      <c r="I132" s="48" t="n">
        <f aca="false">SUMPRODUCT((Costos!$C$5:$C$88=I$4)*Costos!$E$5:$E$88*(Costos!$K$5:$K$88&lt;=$A132)*(Costos!$L$5:$L$88&gt;$A132))</f>
        <v>0.5</v>
      </c>
      <c r="J132" s="48" t="n">
        <f aca="false">SUMPRODUCT((Costos!$C$5:$C$88=J$4)*Costos!$E$5:$E$88*(Costos!$K$5:$K$88&lt;=$A132)*(Costos!$L$5:$L$88&gt;$A132))</f>
        <v>0</v>
      </c>
      <c r="K132" s="48" t="n">
        <f aca="false">SUMPRODUCT((Costos!$C$5:$C$88=K$4)*Costos!$E$5:$E$88*(Costos!$K$5:$K$88&lt;=$A132)*(Costos!$L$5:$L$88&gt;$A132))</f>
        <v>0.3</v>
      </c>
      <c r="L132" s="48" t="n">
        <f aca="false">SUMPRODUCT((Costos!$C$5:$C$88=L$4)*Costos!$E$5:$E$88*(Costos!$K$5:$K$88&lt;=$A132)*(Costos!$L$5:$L$88&gt;$A132))</f>
        <v>0</v>
      </c>
      <c r="M132" s="48" t="n">
        <f aca="false">SUMPRODUCT((Costos!$C$5:$C$88=M$4)*Costos!$E$5:$E$88*(Costos!$K$5:$K$88&lt;=$A132)*(Costos!$L$5:$L$88&gt;$A132))</f>
        <v>0.5</v>
      </c>
      <c r="N132" s="48" t="n">
        <f aca="false">SUMPRODUCT((Costos!$C$5:$C$88=N$4)*Costos!$E$5:$E$88*(Costos!$K$5:$K$88&lt;=$A132)*(Costos!$L$5:$L$88&gt;$A132))</f>
        <v>0</v>
      </c>
    </row>
    <row r="133" customFormat="false" ht="15" hidden="false" customHeight="false" outlineLevel="0" collapsed="false">
      <c r="A133" s="26" t="n">
        <v>128</v>
      </c>
      <c r="B133" s="47" t="n">
        <f aca="false">INDEX(Calendario!$B$3:$B$172,A133+1)</f>
        <v>46492</v>
      </c>
      <c r="C133" s="48" t="n">
        <f aca="false">SUMPRODUCT((Costos!$C$5:$C$88=C$4)*Costos!$E$5:$E$88*(Costos!$K$5:$K$88&lt;=$A133)*(Costos!$L$5:$L$88&gt;$A133))</f>
        <v>0.7</v>
      </c>
      <c r="D133" s="48" t="n">
        <f aca="false">SUMPRODUCT((Costos!$C$5:$C$88=D$4)*Costos!$E$5:$E$88*(Costos!$K$5:$K$88&lt;=$A133)*(Costos!$L$5:$L$88&gt;$A133))</f>
        <v>0.3</v>
      </c>
      <c r="E133" s="48" t="n">
        <f aca="false">SUMPRODUCT((Costos!$C$5:$C$88=E$4)*Costos!$E$5:$E$88*(Costos!$K$5:$K$88&lt;=$A133)*(Costos!$L$5:$L$88&gt;$A133))</f>
        <v>0.2</v>
      </c>
      <c r="F133" s="48" t="n">
        <f aca="false">SUMPRODUCT((Costos!$C$5:$C$88=F$4)*Costos!$E$5:$E$88*(Costos!$K$5:$K$88&lt;=$A133)*(Costos!$L$5:$L$88&gt;$A133))</f>
        <v>1.5</v>
      </c>
      <c r="G133" s="48" t="n">
        <f aca="false">SUMPRODUCT((Costos!$C$5:$C$88=G$4)*Costos!$E$5:$E$88*(Costos!$K$5:$K$88&lt;=$A133)*(Costos!$L$5:$L$88&gt;$A133))</f>
        <v>0.5</v>
      </c>
      <c r="H133" s="48" t="n">
        <f aca="false">SUMPRODUCT((Costos!$C$5:$C$88=H$4)*Costos!$E$5:$E$88*(Costos!$K$5:$K$88&lt;=$A133)*(Costos!$L$5:$L$88&gt;$A133))</f>
        <v>0</v>
      </c>
      <c r="I133" s="48" t="n">
        <f aca="false">SUMPRODUCT((Costos!$C$5:$C$88=I$4)*Costos!$E$5:$E$88*(Costos!$K$5:$K$88&lt;=$A133)*(Costos!$L$5:$L$88&gt;$A133))</f>
        <v>0.5</v>
      </c>
      <c r="J133" s="48" t="n">
        <f aca="false">SUMPRODUCT((Costos!$C$5:$C$88=J$4)*Costos!$E$5:$E$88*(Costos!$K$5:$K$88&lt;=$A133)*(Costos!$L$5:$L$88&gt;$A133))</f>
        <v>0</v>
      </c>
      <c r="K133" s="48" t="n">
        <f aca="false">SUMPRODUCT((Costos!$C$5:$C$88=K$4)*Costos!$E$5:$E$88*(Costos!$K$5:$K$88&lt;=$A133)*(Costos!$L$5:$L$88&gt;$A133))</f>
        <v>0.3</v>
      </c>
      <c r="L133" s="48" t="n">
        <f aca="false">SUMPRODUCT((Costos!$C$5:$C$88=L$4)*Costos!$E$5:$E$88*(Costos!$K$5:$K$88&lt;=$A133)*(Costos!$L$5:$L$88&gt;$A133))</f>
        <v>0</v>
      </c>
      <c r="M133" s="48" t="n">
        <f aca="false">SUMPRODUCT((Costos!$C$5:$C$88=M$4)*Costos!$E$5:$E$88*(Costos!$K$5:$K$88&lt;=$A133)*(Costos!$L$5:$L$88&gt;$A133))</f>
        <v>0.5</v>
      </c>
      <c r="N133" s="48" t="n">
        <f aca="false">SUMPRODUCT((Costos!$C$5:$C$88=N$4)*Costos!$E$5:$E$88*(Costos!$K$5:$K$88&lt;=$A133)*(Costos!$L$5:$L$88&gt;$A133))</f>
        <v>0</v>
      </c>
    </row>
    <row r="134" customFormat="false" ht="15" hidden="false" customHeight="false" outlineLevel="0" collapsed="false">
      <c r="A134" s="26" t="n">
        <v>129</v>
      </c>
      <c r="B134" s="47" t="n">
        <f aca="false">INDEX(Calendario!$B$3:$B$172,A134+1)</f>
        <v>46493</v>
      </c>
      <c r="C134" s="48" t="n">
        <f aca="false">SUMPRODUCT((Costos!$C$5:$C$88=C$4)*Costos!$E$5:$E$88*(Costos!$K$5:$K$88&lt;=$A134)*(Costos!$L$5:$L$88&gt;$A134))</f>
        <v>0.7</v>
      </c>
      <c r="D134" s="48" t="n">
        <f aca="false">SUMPRODUCT((Costos!$C$5:$C$88=D$4)*Costos!$E$5:$E$88*(Costos!$K$5:$K$88&lt;=$A134)*(Costos!$L$5:$L$88&gt;$A134))</f>
        <v>0.3</v>
      </c>
      <c r="E134" s="48" t="n">
        <f aca="false">SUMPRODUCT((Costos!$C$5:$C$88=E$4)*Costos!$E$5:$E$88*(Costos!$K$5:$K$88&lt;=$A134)*(Costos!$L$5:$L$88&gt;$A134))</f>
        <v>0.2</v>
      </c>
      <c r="F134" s="48" t="n">
        <f aca="false">SUMPRODUCT((Costos!$C$5:$C$88=F$4)*Costos!$E$5:$E$88*(Costos!$K$5:$K$88&lt;=$A134)*(Costos!$L$5:$L$88&gt;$A134))</f>
        <v>1.5</v>
      </c>
      <c r="G134" s="48" t="n">
        <f aca="false">SUMPRODUCT((Costos!$C$5:$C$88=G$4)*Costos!$E$5:$E$88*(Costos!$K$5:$K$88&lt;=$A134)*(Costos!$L$5:$L$88&gt;$A134))</f>
        <v>0.5</v>
      </c>
      <c r="H134" s="48" t="n">
        <f aca="false">SUMPRODUCT((Costos!$C$5:$C$88=H$4)*Costos!$E$5:$E$88*(Costos!$K$5:$K$88&lt;=$A134)*(Costos!$L$5:$L$88&gt;$A134))</f>
        <v>0</v>
      </c>
      <c r="I134" s="48" t="n">
        <f aca="false">SUMPRODUCT((Costos!$C$5:$C$88=I$4)*Costos!$E$5:$E$88*(Costos!$K$5:$K$88&lt;=$A134)*(Costos!$L$5:$L$88&gt;$A134))</f>
        <v>0.5</v>
      </c>
      <c r="J134" s="48" t="n">
        <f aca="false">SUMPRODUCT((Costos!$C$5:$C$88=J$4)*Costos!$E$5:$E$88*(Costos!$K$5:$K$88&lt;=$A134)*(Costos!$L$5:$L$88&gt;$A134))</f>
        <v>0</v>
      </c>
      <c r="K134" s="48" t="n">
        <f aca="false">SUMPRODUCT((Costos!$C$5:$C$88=K$4)*Costos!$E$5:$E$88*(Costos!$K$5:$K$88&lt;=$A134)*(Costos!$L$5:$L$88&gt;$A134))</f>
        <v>0.3</v>
      </c>
      <c r="L134" s="48" t="n">
        <f aca="false">SUMPRODUCT((Costos!$C$5:$C$88=L$4)*Costos!$E$5:$E$88*(Costos!$K$5:$K$88&lt;=$A134)*(Costos!$L$5:$L$88&gt;$A134))</f>
        <v>0</v>
      </c>
      <c r="M134" s="48" t="n">
        <f aca="false">SUMPRODUCT((Costos!$C$5:$C$88=M$4)*Costos!$E$5:$E$88*(Costos!$K$5:$K$88&lt;=$A134)*(Costos!$L$5:$L$88&gt;$A134))</f>
        <v>0.5</v>
      </c>
      <c r="N134" s="48" t="n">
        <f aca="false">SUMPRODUCT((Costos!$C$5:$C$88=N$4)*Costos!$E$5:$E$88*(Costos!$K$5:$K$88&lt;=$A134)*(Costos!$L$5:$L$88&gt;$A134))</f>
        <v>0</v>
      </c>
    </row>
    <row r="135" customFormat="false" ht="15" hidden="false" customHeight="false" outlineLevel="0" collapsed="false">
      <c r="A135" s="26" t="n">
        <v>130</v>
      </c>
      <c r="B135" s="47" t="n">
        <f aca="false">INDEX(Calendario!$B$3:$B$172,A135+1)</f>
        <v>46496</v>
      </c>
      <c r="C135" s="48" t="n">
        <f aca="false">SUMPRODUCT((Costos!$C$5:$C$88=C$4)*Costos!$E$5:$E$88*(Costos!$K$5:$K$88&lt;=$A135)*(Costos!$L$5:$L$88&gt;$A135))</f>
        <v>0.7</v>
      </c>
      <c r="D135" s="48" t="n">
        <f aca="false">SUMPRODUCT((Costos!$C$5:$C$88=D$4)*Costos!$E$5:$E$88*(Costos!$K$5:$K$88&lt;=$A135)*(Costos!$L$5:$L$88&gt;$A135))</f>
        <v>0.8</v>
      </c>
      <c r="E135" s="48" t="n">
        <f aca="false">SUMPRODUCT((Costos!$C$5:$C$88=E$4)*Costos!$E$5:$E$88*(Costos!$K$5:$K$88&lt;=$A135)*(Costos!$L$5:$L$88&gt;$A135))</f>
        <v>0.2</v>
      </c>
      <c r="F135" s="48" t="n">
        <f aca="false">SUMPRODUCT((Costos!$C$5:$C$88=F$4)*Costos!$E$5:$E$88*(Costos!$K$5:$K$88&lt;=$A135)*(Costos!$L$5:$L$88&gt;$A135))</f>
        <v>2</v>
      </c>
      <c r="G135" s="48" t="n">
        <f aca="false">SUMPRODUCT((Costos!$C$5:$C$88=G$4)*Costos!$E$5:$E$88*(Costos!$K$5:$K$88&lt;=$A135)*(Costos!$L$5:$L$88&gt;$A135))</f>
        <v>0.5</v>
      </c>
      <c r="H135" s="48" t="n">
        <f aca="false">SUMPRODUCT((Costos!$C$5:$C$88=H$4)*Costos!$E$5:$E$88*(Costos!$K$5:$K$88&lt;=$A135)*(Costos!$L$5:$L$88&gt;$A135))</f>
        <v>0</v>
      </c>
      <c r="I135" s="48" t="n">
        <f aca="false">SUMPRODUCT((Costos!$C$5:$C$88=I$4)*Costos!$E$5:$E$88*(Costos!$K$5:$K$88&lt;=$A135)*(Costos!$L$5:$L$88&gt;$A135))</f>
        <v>0.5</v>
      </c>
      <c r="J135" s="48" t="n">
        <f aca="false">SUMPRODUCT((Costos!$C$5:$C$88=J$4)*Costos!$E$5:$E$88*(Costos!$K$5:$K$88&lt;=$A135)*(Costos!$L$5:$L$88&gt;$A135))</f>
        <v>0</v>
      </c>
      <c r="K135" s="48" t="n">
        <f aca="false">SUMPRODUCT((Costos!$C$5:$C$88=K$4)*Costos!$E$5:$E$88*(Costos!$K$5:$K$88&lt;=$A135)*(Costos!$L$5:$L$88&gt;$A135))</f>
        <v>0.5</v>
      </c>
      <c r="L135" s="48" t="n">
        <f aca="false">SUMPRODUCT((Costos!$C$5:$C$88=L$4)*Costos!$E$5:$E$88*(Costos!$K$5:$K$88&lt;=$A135)*(Costos!$L$5:$L$88&gt;$A135))</f>
        <v>0.5</v>
      </c>
      <c r="M135" s="48" t="n">
        <f aca="false">SUMPRODUCT((Costos!$C$5:$C$88=M$4)*Costos!$E$5:$E$88*(Costos!$K$5:$K$88&lt;=$A135)*(Costos!$L$5:$L$88&gt;$A135))</f>
        <v>0.9</v>
      </c>
      <c r="N135" s="48" t="n">
        <f aca="false">SUMPRODUCT((Costos!$C$5:$C$88=N$4)*Costos!$E$5:$E$88*(Costos!$K$5:$K$88&lt;=$A135)*(Costos!$L$5:$L$88&gt;$A135))</f>
        <v>0</v>
      </c>
    </row>
    <row r="136" customFormat="false" ht="15" hidden="false" customHeight="false" outlineLevel="0" collapsed="false">
      <c r="A136" s="26" t="n">
        <v>131</v>
      </c>
      <c r="B136" s="47" t="n">
        <f aca="false">INDEX(Calendario!$B$3:$B$172,A136+1)</f>
        <v>46497</v>
      </c>
      <c r="C136" s="48" t="n">
        <f aca="false">SUMPRODUCT((Costos!$C$5:$C$88=C$4)*Costos!$E$5:$E$88*(Costos!$K$5:$K$88&lt;=$A136)*(Costos!$L$5:$L$88&gt;$A136))</f>
        <v>0.7</v>
      </c>
      <c r="D136" s="48" t="n">
        <f aca="false">SUMPRODUCT((Costos!$C$5:$C$88=D$4)*Costos!$E$5:$E$88*(Costos!$K$5:$K$88&lt;=$A136)*(Costos!$L$5:$L$88&gt;$A136))</f>
        <v>0.8</v>
      </c>
      <c r="E136" s="48" t="n">
        <f aca="false">SUMPRODUCT((Costos!$C$5:$C$88=E$4)*Costos!$E$5:$E$88*(Costos!$K$5:$K$88&lt;=$A136)*(Costos!$L$5:$L$88&gt;$A136))</f>
        <v>0.2</v>
      </c>
      <c r="F136" s="48" t="n">
        <f aca="false">SUMPRODUCT((Costos!$C$5:$C$88=F$4)*Costos!$E$5:$E$88*(Costos!$K$5:$K$88&lt;=$A136)*(Costos!$L$5:$L$88&gt;$A136))</f>
        <v>2</v>
      </c>
      <c r="G136" s="48" t="n">
        <f aca="false">SUMPRODUCT((Costos!$C$5:$C$88=G$4)*Costos!$E$5:$E$88*(Costos!$K$5:$K$88&lt;=$A136)*(Costos!$L$5:$L$88&gt;$A136))</f>
        <v>0.5</v>
      </c>
      <c r="H136" s="48" t="n">
        <f aca="false">SUMPRODUCT((Costos!$C$5:$C$88=H$4)*Costos!$E$5:$E$88*(Costos!$K$5:$K$88&lt;=$A136)*(Costos!$L$5:$L$88&gt;$A136))</f>
        <v>0</v>
      </c>
      <c r="I136" s="48" t="n">
        <f aca="false">SUMPRODUCT((Costos!$C$5:$C$88=I$4)*Costos!$E$5:$E$88*(Costos!$K$5:$K$88&lt;=$A136)*(Costos!$L$5:$L$88&gt;$A136))</f>
        <v>0.5</v>
      </c>
      <c r="J136" s="48" t="n">
        <f aca="false">SUMPRODUCT((Costos!$C$5:$C$88=J$4)*Costos!$E$5:$E$88*(Costos!$K$5:$K$88&lt;=$A136)*(Costos!$L$5:$L$88&gt;$A136))</f>
        <v>0</v>
      </c>
      <c r="K136" s="48" t="n">
        <f aca="false">SUMPRODUCT((Costos!$C$5:$C$88=K$4)*Costos!$E$5:$E$88*(Costos!$K$5:$K$88&lt;=$A136)*(Costos!$L$5:$L$88&gt;$A136))</f>
        <v>0.5</v>
      </c>
      <c r="L136" s="48" t="n">
        <f aca="false">SUMPRODUCT((Costos!$C$5:$C$88=L$4)*Costos!$E$5:$E$88*(Costos!$K$5:$K$88&lt;=$A136)*(Costos!$L$5:$L$88&gt;$A136))</f>
        <v>0.5</v>
      </c>
      <c r="M136" s="48" t="n">
        <f aca="false">SUMPRODUCT((Costos!$C$5:$C$88=M$4)*Costos!$E$5:$E$88*(Costos!$K$5:$K$88&lt;=$A136)*(Costos!$L$5:$L$88&gt;$A136))</f>
        <v>0.9</v>
      </c>
      <c r="N136" s="48" t="n">
        <f aca="false">SUMPRODUCT((Costos!$C$5:$C$88=N$4)*Costos!$E$5:$E$88*(Costos!$K$5:$K$88&lt;=$A136)*(Costos!$L$5:$L$88&gt;$A136))</f>
        <v>0</v>
      </c>
    </row>
    <row r="137" customFormat="false" ht="15" hidden="false" customHeight="false" outlineLevel="0" collapsed="false">
      <c r="A137" s="26" t="n">
        <v>132</v>
      </c>
      <c r="B137" s="47" t="n">
        <f aca="false">INDEX(Calendario!$B$3:$B$172,A137+1)</f>
        <v>46498</v>
      </c>
      <c r="C137" s="48" t="n">
        <f aca="false">SUMPRODUCT((Costos!$C$5:$C$88=C$4)*Costos!$E$5:$E$88*(Costos!$K$5:$K$88&lt;=$A137)*(Costos!$L$5:$L$88&gt;$A137))</f>
        <v>0.7</v>
      </c>
      <c r="D137" s="48" t="n">
        <f aca="false">SUMPRODUCT((Costos!$C$5:$C$88=D$4)*Costos!$E$5:$E$88*(Costos!$K$5:$K$88&lt;=$A137)*(Costos!$L$5:$L$88&gt;$A137))</f>
        <v>0.8</v>
      </c>
      <c r="E137" s="48" t="n">
        <f aca="false">SUMPRODUCT((Costos!$C$5:$C$88=E$4)*Costos!$E$5:$E$88*(Costos!$K$5:$K$88&lt;=$A137)*(Costos!$L$5:$L$88&gt;$A137))</f>
        <v>0.2</v>
      </c>
      <c r="F137" s="48" t="n">
        <f aca="false">SUMPRODUCT((Costos!$C$5:$C$88=F$4)*Costos!$E$5:$E$88*(Costos!$K$5:$K$88&lt;=$A137)*(Costos!$L$5:$L$88&gt;$A137))</f>
        <v>2</v>
      </c>
      <c r="G137" s="48" t="n">
        <f aca="false">SUMPRODUCT((Costos!$C$5:$C$88=G$4)*Costos!$E$5:$E$88*(Costos!$K$5:$K$88&lt;=$A137)*(Costos!$L$5:$L$88&gt;$A137))</f>
        <v>0.5</v>
      </c>
      <c r="H137" s="48" t="n">
        <f aca="false">SUMPRODUCT((Costos!$C$5:$C$88=H$4)*Costos!$E$5:$E$88*(Costos!$K$5:$K$88&lt;=$A137)*(Costos!$L$5:$L$88&gt;$A137))</f>
        <v>0</v>
      </c>
      <c r="I137" s="48" t="n">
        <f aca="false">SUMPRODUCT((Costos!$C$5:$C$88=I$4)*Costos!$E$5:$E$88*(Costos!$K$5:$K$88&lt;=$A137)*(Costos!$L$5:$L$88&gt;$A137))</f>
        <v>0.5</v>
      </c>
      <c r="J137" s="48" t="n">
        <f aca="false">SUMPRODUCT((Costos!$C$5:$C$88=J$4)*Costos!$E$5:$E$88*(Costos!$K$5:$K$88&lt;=$A137)*(Costos!$L$5:$L$88&gt;$A137))</f>
        <v>0</v>
      </c>
      <c r="K137" s="48" t="n">
        <f aca="false">SUMPRODUCT((Costos!$C$5:$C$88=K$4)*Costos!$E$5:$E$88*(Costos!$K$5:$K$88&lt;=$A137)*(Costos!$L$5:$L$88&gt;$A137))</f>
        <v>0.5</v>
      </c>
      <c r="L137" s="48" t="n">
        <f aca="false">SUMPRODUCT((Costos!$C$5:$C$88=L$4)*Costos!$E$5:$E$88*(Costos!$K$5:$K$88&lt;=$A137)*(Costos!$L$5:$L$88&gt;$A137))</f>
        <v>0.5</v>
      </c>
      <c r="M137" s="48" t="n">
        <f aca="false">SUMPRODUCT((Costos!$C$5:$C$88=M$4)*Costos!$E$5:$E$88*(Costos!$K$5:$K$88&lt;=$A137)*(Costos!$L$5:$L$88&gt;$A137))</f>
        <v>0.9</v>
      </c>
      <c r="N137" s="48" t="n">
        <f aca="false">SUMPRODUCT((Costos!$C$5:$C$88=N$4)*Costos!$E$5:$E$88*(Costos!$K$5:$K$88&lt;=$A137)*(Costos!$L$5:$L$88&gt;$A137))</f>
        <v>0</v>
      </c>
    </row>
    <row r="138" customFormat="false" ht="15" hidden="false" customHeight="false" outlineLevel="0" collapsed="false">
      <c r="A138" s="26" t="n">
        <v>133</v>
      </c>
      <c r="B138" s="47" t="n">
        <f aca="false">INDEX(Calendario!$B$3:$B$172,A138+1)</f>
        <v>46499</v>
      </c>
      <c r="C138" s="48" t="n">
        <f aca="false">SUMPRODUCT((Costos!$C$5:$C$88=C$4)*Costos!$E$5:$E$88*(Costos!$K$5:$K$88&lt;=$A138)*(Costos!$L$5:$L$88&gt;$A138))</f>
        <v>0.7</v>
      </c>
      <c r="D138" s="48" t="n">
        <f aca="false">SUMPRODUCT((Costos!$C$5:$C$88=D$4)*Costos!$E$5:$E$88*(Costos!$K$5:$K$88&lt;=$A138)*(Costos!$L$5:$L$88&gt;$A138))</f>
        <v>0.8</v>
      </c>
      <c r="E138" s="48" t="n">
        <f aca="false">SUMPRODUCT((Costos!$C$5:$C$88=E$4)*Costos!$E$5:$E$88*(Costos!$K$5:$K$88&lt;=$A138)*(Costos!$L$5:$L$88&gt;$A138))</f>
        <v>0.2</v>
      </c>
      <c r="F138" s="48" t="n">
        <f aca="false">SUMPRODUCT((Costos!$C$5:$C$88=F$4)*Costos!$E$5:$E$88*(Costos!$K$5:$K$88&lt;=$A138)*(Costos!$L$5:$L$88&gt;$A138))</f>
        <v>2</v>
      </c>
      <c r="G138" s="48" t="n">
        <f aca="false">SUMPRODUCT((Costos!$C$5:$C$88=G$4)*Costos!$E$5:$E$88*(Costos!$K$5:$K$88&lt;=$A138)*(Costos!$L$5:$L$88&gt;$A138))</f>
        <v>0.5</v>
      </c>
      <c r="H138" s="48" t="n">
        <f aca="false">SUMPRODUCT((Costos!$C$5:$C$88=H$4)*Costos!$E$5:$E$88*(Costos!$K$5:$K$88&lt;=$A138)*(Costos!$L$5:$L$88&gt;$A138))</f>
        <v>0</v>
      </c>
      <c r="I138" s="48" t="n">
        <f aca="false">SUMPRODUCT((Costos!$C$5:$C$88=I$4)*Costos!$E$5:$E$88*(Costos!$K$5:$K$88&lt;=$A138)*(Costos!$L$5:$L$88&gt;$A138))</f>
        <v>0.5</v>
      </c>
      <c r="J138" s="48" t="n">
        <f aca="false">SUMPRODUCT((Costos!$C$5:$C$88=J$4)*Costos!$E$5:$E$88*(Costos!$K$5:$K$88&lt;=$A138)*(Costos!$L$5:$L$88&gt;$A138))</f>
        <v>0</v>
      </c>
      <c r="K138" s="48" t="n">
        <f aca="false">SUMPRODUCT((Costos!$C$5:$C$88=K$4)*Costos!$E$5:$E$88*(Costos!$K$5:$K$88&lt;=$A138)*(Costos!$L$5:$L$88&gt;$A138))</f>
        <v>0.5</v>
      </c>
      <c r="L138" s="48" t="n">
        <f aca="false">SUMPRODUCT((Costos!$C$5:$C$88=L$4)*Costos!$E$5:$E$88*(Costos!$K$5:$K$88&lt;=$A138)*(Costos!$L$5:$L$88&gt;$A138))</f>
        <v>0.5</v>
      </c>
      <c r="M138" s="48" t="n">
        <f aca="false">SUMPRODUCT((Costos!$C$5:$C$88=M$4)*Costos!$E$5:$E$88*(Costos!$K$5:$K$88&lt;=$A138)*(Costos!$L$5:$L$88&gt;$A138))</f>
        <v>0.9</v>
      </c>
      <c r="N138" s="48" t="n">
        <f aca="false">SUMPRODUCT((Costos!$C$5:$C$88=N$4)*Costos!$E$5:$E$88*(Costos!$K$5:$K$88&lt;=$A138)*(Costos!$L$5:$L$88&gt;$A138))</f>
        <v>0</v>
      </c>
    </row>
    <row r="139" customFormat="false" ht="15" hidden="false" customHeight="false" outlineLevel="0" collapsed="false">
      <c r="A139" s="26" t="n">
        <v>134</v>
      </c>
      <c r="B139" s="47" t="n">
        <f aca="false">INDEX(Calendario!$B$3:$B$172,A139+1)</f>
        <v>46500</v>
      </c>
      <c r="C139" s="48" t="n">
        <f aca="false">SUMPRODUCT((Costos!$C$5:$C$88=C$4)*Costos!$E$5:$E$88*(Costos!$K$5:$K$88&lt;=$A139)*(Costos!$L$5:$L$88&gt;$A139))</f>
        <v>0.7</v>
      </c>
      <c r="D139" s="48" t="n">
        <f aca="false">SUMPRODUCT((Costos!$C$5:$C$88=D$4)*Costos!$E$5:$E$88*(Costos!$K$5:$K$88&lt;=$A139)*(Costos!$L$5:$L$88&gt;$A139))</f>
        <v>0.8</v>
      </c>
      <c r="E139" s="48" t="n">
        <f aca="false">SUMPRODUCT((Costos!$C$5:$C$88=E$4)*Costos!$E$5:$E$88*(Costos!$K$5:$K$88&lt;=$A139)*(Costos!$L$5:$L$88&gt;$A139))</f>
        <v>0.2</v>
      </c>
      <c r="F139" s="48" t="n">
        <f aca="false">SUMPRODUCT((Costos!$C$5:$C$88=F$4)*Costos!$E$5:$E$88*(Costos!$K$5:$K$88&lt;=$A139)*(Costos!$L$5:$L$88&gt;$A139))</f>
        <v>2</v>
      </c>
      <c r="G139" s="48" t="n">
        <f aca="false">SUMPRODUCT((Costos!$C$5:$C$88=G$4)*Costos!$E$5:$E$88*(Costos!$K$5:$K$88&lt;=$A139)*(Costos!$L$5:$L$88&gt;$A139))</f>
        <v>0.5</v>
      </c>
      <c r="H139" s="48" t="n">
        <f aca="false">SUMPRODUCT((Costos!$C$5:$C$88=H$4)*Costos!$E$5:$E$88*(Costos!$K$5:$K$88&lt;=$A139)*(Costos!$L$5:$L$88&gt;$A139))</f>
        <v>0</v>
      </c>
      <c r="I139" s="48" t="n">
        <f aca="false">SUMPRODUCT((Costos!$C$5:$C$88=I$4)*Costos!$E$5:$E$88*(Costos!$K$5:$K$88&lt;=$A139)*(Costos!$L$5:$L$88&gt;$A139))</f>
        <v>0.5</v>
      </c>
      <c r="J139" s="48" t="n">
        <f aca="false">SUMPRODUCT((Costos!$C$5:$C$88=J$4)*Costos!$E$5:$E$88*(Costos!$K$5:$K$88&lt;=$A139)*(Costos!$L$5:$L$88&gt;$A139))</f>
        <v>0</v>
      </c>
      <c r="K139" s="48" t="n">
        <f aca="false">SUMPRODUCT((Costos!$C$5:$C$88=K$4)*Costos!$E$5:$E$88*(Costos!$K$5:$K$88&lt;=$A139)*(Costos!$L$5:$L$88&gt;$A139))</f>
        <v>0.5</v>
      </c>
      <c r="L139" s="48" t="n">
        <f aca="false">SUMPRODUCT((Costos!$C$5:$C$88=L$4)*Costos!$E$5:$E$88*(Costos!$K$5:$K$88&lt;=$A139)*(Costos!$L$5:$L$88&gt;$A139))</f>
        <v>0.5</v>
      </c>
      <c r="M139" s="48" t="n">
        <f aca="false">SUMPRODUCT((Costos!$C$5:$C$88=M$4)*Costos!$E$5:$E$88*(Costos!$K$5:$K$88&lt;=$A139)*(Costos!$L$5:$L$88&gt;$A139))</f>
        <v>0.9</v>
      </c>
      <c r="N139" s="48" t="n">
        <f aca="false">SUMPRODUCT((Costos!$C$5:$C$88=N$4)*Costos!$E$5:$E$88*(Costos!$K$5:$K$88&lt;=$A139)*(Costos!$L$5:$L$88&gt;$A139))</f>
        <v>0</v>
      </c>
    </row>
    <row r="140" customFormat="false" ht="15" hidden="false" customHeight="false" outlineLevel="0" collapsed="false">
      <c r="A140" s="26" t="n">
        <v>135</v>
      </c>
      <c r="B140" s="47" t="n">
        <f aca="false">INDEX(Calendario!$B$3:$B$172,A140+1)</f>
        <v>46503</v>
      </c>
      <c r="C140" s="48" t="n">
        <f aca="false">SUMPRODUCT((Costos!$C$5:$C$88=C$4)*Costos!$E$5:$E$88*(Costos!$K$5:$K$88&lt;=$A140)*(Costos!$L$5:$L$88&gt;$A140))</f>
        <v>1</v>
      </c>
      <c r="D140" s="48" t="n">
        <f aca="false">SUMPRODUCT((Costos!$C$5:$C$88=D$4)*Costos!$E$5:$E$88*(Costos!$K$5:$K$88&lt;=$A140)*(Costos!$L$5:$L$88&gt;$A140))</f>
        <v>0.9</v>
      </c>
      <c r="E140" s="48" t="n">
        <f aca="false">SUMPRODUCT((Costos!$C$5:$C$88=E$4)*Costos!$E$5:$E$88*(Costos!$K$5:$K$88&lt;=$A140)*(Costos!$L$5:$L$88&gt;$A140))</f>
        <v>0.2</v>
      </c>
      <c r="F140" s="48" t="n">
        <f aca="false">SUMPRODUCT((Costos!$C$5:$C$88=F$4)*Costos!$E$5:$E$88*(Costos!$K$5:$K$88&lt;=$A140)*(Costos!$L$5:$L$88&gt;$A140))</f>
        <v>2</v>
      </c>
      <c r="G140" s="48" t="n">
        <f aca="false">SUMPRODUCT((Costos!$C$5:$C$88=G$4)*Costos!$E$5:$E$88*(Costos!$K$5:$K$88&lt;=$A140)*(Costos!$L$5:$L$88&gt;$A140))</f>
        <v>0.5</v>
      </c>
      <c r="H140" s="48" t="n">
        <f aca="false">SUMPRODUCT((Costos!$C$5:$C$88=H$4)*Costos!$E$5:$E$88*(Costos!$K$5:$K$88&lt;=$A140)*(Costos!$L$5:$L$88&gt;$A140))</f>
        <v>0</v>
      </c>
      <c r="I140" s="48" t="n">
        <f aca="false">SUMPRODUCT((Costos!$C$5:$C$88=I$4)*Costos!$E$5:$E$88*(Costos!$K$5:$K$88&lt;=$A140)*(Costos!$L$5:$L$88&gt;$A140))</f>
        <v>0.5</v>
      </c>
      <c r="J140" s="48" t="n">
        <f aca="false">SUMPRODUCT((Costos!$C$5:$C$88=J$4)*Costos!$E$5:$E$88*(Costos!$K$5:$K$88&lt;=$A140)*(Costos!$L$5:$L$88&gt;$A140))</f>
        <v>0</v>
      </c>
      <c r="K140" s="48" t="n">
        <f aca="false">SUMPRODUCT((Costos!$C$5:$C$88=K$4)*Costos!$E$5:$E$88*(Costos!$K$5:$K$88&lt;=$A140)*(Costos!$L$5:$L$88&gt;$A140))</f>
        <v>0.5</v>
      </c>
      <c r="L140" s="48" t="n">
        <f aca="false">SUMPRODUCT((Costos!$C$5:$C$88=L$4)*Costos!$E$5:$E$88*(Costos!$K$5:$K$88&lt;=$A140)*(Costos!$L$5:$L$88&gt;$A140))</f>
        <v>0.5</v>
      </c>
      <c r="M140" s="48" t="n">
        <f aca="false">SUMPRODUCT((Costos!$C$5:$C$88=M$4)*Costos!$E$5:$E$88*(Costos!$K$5:$K$88&lt;=$A140)*(Costos!$L$5:$L$88&gt;$A140))</f>
        <v>0.9</v>
      </c>
      <c r="N140" s="48" t="n">
        <f aca="false">SUMPRODUCT((Costos!$C$5:$C$88=N$4)*Costos!$E$5:$E$88*(Costos!$K$5:$K$88&lt;=$A140)*(Costos!$L$5:$L$88&gt;$A140))</f>
        <v>0</v>
      </c>
    </row>
    <row r="141" customFormat="false" ht="15" hidden="false" customHeight="false" outlineLevel="0" collapsed="false">
      <c r="A141" s="26" t="n">
        <v>136</v>
      </c>
      <c r="B141" s="47" t="n">
        <f aca="false">INDEX(Calendario!$B$3:$B$172,A141+1)</f>
        <v>46504</v>
      </c>
      <c r="C141" s="48" t="n">
        <f aca="false">SUMPRODUCT((Costos!$C$5:$C$88=C$4)*Costos!$E$5:$E$88*(Costos!$K$5:$K$88&lt;=$A141)*(Costos!$L$5:$L$88&gt;$A141))</f>
        <v>1</v>
      </c>
      <c r="D141" s="48" t="n">
        <f aca="false">SUMPRODUCT((Costos!$C$5:$C$88=D$4)*Costos!$E$5:$E$88*(Costos!$K$5:$K$88&lt;=$A141)*(Costos!$L$5:$L$88&gt;$A141))</f>
        <v>0.9</v>
      </c>
      <c r="E141" s="48" t="n">
        <f aca="false">SUMPRODUCT((Costos!$C$5:$C$88=E$4)*Costos!$E$5:$E$88*(Costos!$K$5:$K$88&lt;=$A141)*(Costos!$L$5:$L$88&gt;$A141))</f>
        <v>0.2</v>
      </c>
      <c r="F141" s="48" t="n">
        <f aca="false">SUMPRODUCT((Costos!$C$5:$C$88=F$4)*Costos!$E$5:$E$88*(Costos!$K$5:$K$88&lt;=$A141)*(Costos!$L$5:$L$88&gt;$A141))</f>
        <v>2</v>
      </c>
      <c r="G141" s="48" t="n">
        <f aca="false">SUMPRODUCT((Costos!$C$5:$C$88=G$4)*Costos!$E$5:$E$88*(Costos!$K$5:$K$88&lt;=$A141)*(Costos!$L$5:$L$88&gt;$A141))</f>
        <v>0.5</v>
      </c>
      <c r="H141" s="48" t="n">
        <f aca="false">SUMPRODUCT((Costos!$C$5:$C$88=H$4)*Costos!$E$5:$E$88*(Costos!$K$5:$K$88&lt;=$A141)*(Costos!$L$5:$L$88&gt;$A141))</f>
        <v>0</v>
      </c>
      <c r="I141" s="48" t="n">
        <f aca="false">SUMPRODUCT((Costos!$C$5:$C$88=I$4)*Costos!$E$5:$E$88*(Costos!$K$5:$K$88&lt;=$A141)*(Costos!$L$5:$L$88&gt;$A141))</f>
        <v>0.5</v>
      </c>
      <c r="J141" s="48" t="n">
        <f aca="false">SUMPRODUCT((Costos!$C$5:$C$88=J$4)*Costos!$E$5:$E$88*(Costos!$K$5:$K$88&lt;=$A141)*(Costos!$L$5:$L$88&gt;$A141))</f>
        <v>0</v>
      </c>
      <c r="K141" s="48" t="n">
        <f aca="false">SUMPRODUCT((Costos!$C$5:$C$88=K$4)*Costos!$E$5:$E$88*(Costos!$K$5:$K$88&lt;=$A141)*(Costos!$L$5:$L$88&gt;$A141))</f>
        <v>0.5</v>
      </c>
      <c r="L141" s="48" t="n">
        <f aca="false">SUMPRODUCT((Costos!$C$5:$C$88=L$4)*Costos!$E$5:$E$88*(Costos!$K$5:$K$88&lt;=$A141)*(Costos!$L$5:$L$88&gt;$A141))</f>
        <v>0.5</v>
      </c>
      <c r="M141" s="48" t="n">
        <f aca="false">SUMPRODUCT((Costos!$C$5:$C$88=M$4)*Costos!$E$5:$E$88*(Costos!$K$5:$K$88&lt;=$A141)*(Costos!$L$5:$L$88&gt;$A141))</f>
        <v>0.9</v>
      </c>
      <c r="N141" s="48" t="n">
        <f aca="false">SUMPRODUCT((Costos!$C$5:$C$88=N$4)*Costos!$E$5:$E$88*(Costos!$K$5:$K$88&lt;=$A141)*(Costos!$L$5:$L$88&gt;$A141))</f>
        <v>0</v>
      </c>
    </row>
    <row r="142" customFormat="false" ht="15" hidden="false" customHeight="false" outlineLevel="0" collapsed="false">
      <c r="A142" s="26" t="n">
        <v>137</v>
      </c>
      <c r="B142" s="47" t="n">
        <f aca="false">INDEX(Calendario!$B$3:$B$172,A142+1)</f>
        <v>46505</v>
      </c>
      <c r="C142" s="48" t="n">
        <f aca="false">SUMPRODUCT((Costos!$C$5:$C$88=C$4)*Costos!$E$5:$E$88*(Costos!$K$5:$K$88&lt;=$A142)*(Costos!$L$5:$L$88&gt;$A142))</f>
        <v>1</v>
      </c>
      <c r="D142" s="48" t="n">
        <f aca="false">SUMPRODUCT((Costos!$C$5:$C$88=D$4)*Costos!$E$5:$E$88*(Costos!$K$5:$K$88&lt;=$A142)*(Costos!$L$5:$L$88&gt;$A142))</f>
        <v>0.9</v>
      </c>
      <c r="E142" s="48" t="n">
        <f aca="false">SUMPRODUCT((Costos!$C$5:$C$88=E$4)*Costos!$E$5:$E$88*(Costos!$K$5:$K$88&lt;=$A142)*(Costos!$L$5:$L$88&gt;$A142))</f>
        <v>0.2</v>
      </c>
      <c r="F142" s="48" t="n">
        <f aca="false">SUMPRODUCT((Costos!$C$5:$C$88=F$4)*Costos!$E$5:$E$88*(Costos!$K$5:$K$88&lt;=$A142)*(Costos!$L$5:$L$88&gt;$A142))</f>
        <v>2</v>
      </c>
      <c r="G142" s="48" t="n">
        <f aca="false">SUMPRODUCT((Costos!$C$5:$C$88=G$4)*Costos!$E$5:$E$88*(Costos!$K$5:$K$88&lt;=$A142)*(Costos!$L$5:$L$88&gt;$A142))</f>
        <v>0.5</v>
      </c>
      <c r="H142" s="48" t="n">
        <f aca="false">SUMPRODUCT((Costos!$C$5:$C$88=H$4)*Costos!$E$5:$E$88*(Costos!$K$5:$K$88&lt;=$A142)*(Costos!$L$5:$L$88&gt;$A142))</f>
        <v>0</v>
      </c>
      <c r="I142" s="48" t="n">
        <f aca="false">SUMPRODUCT((Costos!$C$5:$C$88=I$4)*Costos!$E$5:$E$88*(Costos!$K$5:$K$88&lt;=$A142)*(Costos!$L$5:$L$88&gt;$A142))</f>
        <v>0.5</v>
      </c>
      <c r="J142" s="48" t="n">
        <f aca="false">SUMPRODUCT((Costos!$C$5:$C$88=J$4)*Costos!$E$5:$E$88*(Costos!$K$5:$K$88&lt;=$A142)*(Costos!$L$5:$L$88&gt;$A142))</f>
        <v>0</v>
      </c>
      <c r="K142" s="48" t="n">
        <f aca="false">SUMPRODUCT((Costos!$C$5:$C$88=K$4)*Costos!$E$5:$E$88*(Costos!$K$5:$K$88&lt;=$A142)*(Costos!$L$5:$L$88&gt;$A142))</f>
        <v>0.5</v>
      </c>
      <c r="L142" s="48" t="n">
        <f aca="false">SUMPRODUCT((Costos!$C$5:$C$88=L$4)*Costos!$E$5:$E$88*(Costos!$K$5:$K$88&lt;=$A142)*(Costos!$L$5:$L$88&gt;$A142))</f>
        <v>0.5</v>
      </c>
      <c r="M142" s="48" t="n">
        <f aca="false">SUMPRODUCT((Costos!$C$5:$C$88=M$4)*Costos!$E$5:$E$88*(Costos!$K$5:$K$88&lt;=$A142)*(Costos!$L$5:$L$88&gt;$A142))</f>
        <v>0.9</v>
      </c>
      <c r="N142" s="48" t="n">
        <f aca="false">SUMPRODUCT((Costos!$C$5:$C$88=N$4)*Costos!$E$5:$E$88*(Costos!$K$5:$K$88&lt;=$A142)*(Costos!$L$5:$L$88&gt;$A142))</f>
        <v>0</v>
      </c>
    </row>
    <row r="143" customFormat="false" ht="15" hidden="false" customHeight="false" outlineLevel="0" collapsed="false">
      <c r="A143" s="26" t="n">
        <v>138</v>
      </c>
      <c r="B143" s="47" t="n">
        <f aca="false">INDEX(Calendario!$B$3:$B$172,A143+1)</f>
        <v>46506</v>
      </c>
      <c r="C143" s="48" t="n">
        <f aca="false">SUMPRODUCT((Costos!$C$5:$C$88=C$4)*Costos!$E$5:$E$88*(Costos!$K$5:$K$88&lt;=$A143)*(Costos!$L$5:$L$88&gt;$A143))</f>
        <v>0.8</v>
      </c>
      <c r="D143" s="48" t="n">
        <f aca="false">SUMPRODUCT((Costos!$C$5:$C$88=D$4)*Costos!$E$5:$E$88*(Costos!$K$5:$K$88&lt;=$A143)*(Costos!$L$5:$L$88&gt;$A143))</f>
        <v>0.6</v>
      </c>
      <c r="E143" s="48" t="n">
        <f aca="false">SUMPRODUCT((Costos!$C$5:$C$88=E$4)*Costos!$E$5:$E$88*(Costos!$K$5:$K$88&lt;=$A143)*(Costos!$L$5:$L$88&gt;$A143))</f>
        <v>0</v>
      </c>
      <c r="F143" s="48" t="n">
        <f aca="false">SUMPRODUCT((Costos!$C$5:$C$88=F$4)*Costos!$E$5:$E$88*(Costos!$K$5:$K$88&lt;=$A143)*(Costos!$L$5:$L$88&gt;$A143))</f>
        <v>0.5</v>
      </c>
      <c r="G143" s="48" t="n">
        <f aca="false">SUMPRODUCT((Costos!$C$5:$C$88=G$4)*Costos!$E$5:$E$88*(Costos!$K$5:$K$88&lt;=$A143)*(Costos!$L$5:$L$88&gt;$A143))</f>
        <v>0</v>
      </c>
      <c r="H143" s="48" t="n">
        <f aca="false">SUMPRODUCT((Costos!$C$5:$C$88=H$4)*Costos!$E$5:$E$88*(Costos!$K$5:$K$88&lt;=$A143)*(Costos!$L$5:$L$88&gt;$A143))</f>
        <v>0</v>
      </c>
      <c r="I143" s="48" t="n">
        <f aca="false">SUMPRODUCT((Costos!$C$5:$C$88=I$4)*Costos!$E$5:$E$88*(Costos!$K$5:$K$88&lt;=$A143)*(Costos!$L$5:$L$88&gt;$A143))</f>
        <v>0</v>
      </c>
      <c r="J143" s="48" t="n">
        <f aca="false">SUMPRODUCT((Costos!$C$5:$C$88=J$4)*Costos!$E$5:$E$88*(Costos!$K$5:$K$88&lt;=$A143)*(Costos!$L$5:$L$88&gt;$A143))</f>
        <v>0</v>
      </c>
      <c r="K143" s="48" t="n">
        <f aca="false">SUMPRODUCT((Costos!$C$5:$C$88=K$4)*Costos!$E$5:$E$88*(Costos!$K$5:$K$88&lt;=$A143)*(Costos!$L$5:$L$88&gt;$A143))</f>
        <v>0.2</v>
      </c>
      <c r="L143" s="48" t="n">
        <f aca="false">SUMPRODUCT((Costos!$C$5:$C$88=L$4)*Costos!$E$5:$E$88*(Costos!$K$5:$K$88&lt;=$A143)*(Costos!$L$5:$L$88&gt;$A143))</f>
        <v>0.5</v>
      </c>
      <c r="M143" s="48" t="n">
        <f aca="false">SUMPRODUCT((Costos!$C$5:$C$88=M$4)*Costos!$E$5:$E$88*(Costos!$K$5:$K$88&lt;=$A143)*(Costos!$L$5:$L$88&gt;$A143))</f>
        <v>0.4</v>
      </c>
      <c r="N143" s="48" t="n">
        <f aca="false">SUMPRODUCT((Costos!$C$5:$C$88=N$4)*Costos!$E$5:$E$88*(Costos!$K$5:$K$88&lt;=$A143)*(Costos!$L$5:$L$88&gt;$A143))</f>
        <v>0</v>
      </c>
    </row>
    <row r="144" customFormat="false" ht="15" hidden="false" customHeight="false" outlineLevel="0" collapsed="false">
      <c r="A144" s="26" t="n">
        <v>139</v>
      </c>
      <c r="B144" s="47" t="n">
        <f aca="false">INDEX(Calendario!$B$3:$B$172,A144+1)</f>
        <v>46507</v>
      </c>
      <c r="C144" s="48" t="n">
        <f aca="false">SUMPRODUCT((Costos!$C$5:$C$88=C$4)*Costos!$E$5:$E$88*(Costos!$K$5:$K$88&lt;=$A144)*(Costos!$L$5:$L$88&gt;$A144))</f>
        <v>0.8</v>
      </c>
      <c r="D144" s="48" t="n">
        <f aca="false">SUMPRODUCT((Costos!$C$5:$C$88=D$4)*Costos!$E$5:$E$88*(Costos!$K$5:$K$88&lt;=$A144)*(Costos!$L$5:$L$88&gt;$A144))</f>
        <v>0.6</v>
      </c>
      <c r="E144" s="48" t="n">
        <f aca="false">SUMPRODUCT((Costos!$C$5:$C$88=E$4)*Costos!$E$5:$E$88*(Costos!$K$5:$K$88&lt;=$A144)*(Costos!$L$5:$L$88&gt;$A144))</f>
        <v>0</v>
      </c>
      <c r="F144" s="48" t="n">
        <f aca="false">SUMPRODUCT((Costos!$C$5:$C$88=F$4)*Costos!$E$5:$E$88*(Costos!$K$5:$K$88&lt;=$A144)*(Costos!$L$5:$L$88&gt;$A144))</f>
        <v>0.5</v>
      </c>
      <c r="G144" s="48" t="n">
        <f aca="false">SUMPRODUCT((Costos!$C$5:$C$88=G$4)*Costos!$E$5:$E$88*(Costos!$K$5:$K$88&lt;=$A144)*(Costos!$L$5:$L$88&gt;$A144))</f>
        <v>0</v>
      </c>
      <c r="H144" s="48" t="n">
        <f aca="false">SUMPRODUCT((Costos!$C$5:$C$88=H$4)*Costos!$E$5:$E$88*(Costos!$K$5:$K$88&lt;=$A144)*(Costos!$L$5:$L$88&gt;$A144))</f>
        <v>0</v>
      </c>
      <c r="I144" s="48" t="n">
        <f aca="false">SUMPRODUCT((Costos!$C$5:$C$88=I$4)*Costos!$E$5:$E$88*(Costos!$K$5:$K$88&lt;=$A144)*(Costos!$L$5:$L$88&gt;$A144))</f>
        <v>0</v>
      </c>
      <c r="J144" s="48" t="n">
        <f aca="false">SUMPRODUCT((Costos!$C$5:$C$88=J$4)*Costos!$E$5:$E$88*(Costos!$K$5:$K$88&lt;=$A144)*(Costos!$L$5:$L$88&gt;$A144))</f>
        <v>0</v>
      </c>
      <c r="K144" s="48" t="n">
        <f aca="false">SUMPRODUCT((Costos!$C$5:$C$88=K$4)*Costos!$E$5:$E$88*(Costos!$K$5:$K$88&lt;=$A144)*(Costos!$L$5:$L$88&gt;$A144))</f>
        <v>0.2</v>
      </c>
      <c r="L144" s="48" t="n">
        <f aca="false">SUMPRODUCT((Costos!$C$5:$C$88=L$4)*Costos!$E$5:$E$88*(Costos!$K$5:$K$88&lt;=$A144)*(Costos!$L$5:$L$88&gt;$A144))</f>
        <v>0.5</v>
      </c>
      <c r="M144" s="48" t="n">
        <f aca="false">SUMPRODUCT((Costos!$C$5:$C$88=M$4)*Costos!$E$5:$E$88*(Costos!$K$5:$K$88&lt;=$A144)*(Costos!$L$5:$L$88&gt;$A144))</f>
        <v>0.4</v>
      </c>
      <c r="N144" s="48" t="n">
        <f aca="false">SUMPRODUCT((Costos!$C$5:$C$88=N$4)*Costos!$E$5:$E$88*(Costos!$K$5:$K$88&lt;=$A144)*(Costos!$L$5:$L$88&gt;$A144))</f>
        <v>0</v>
      </c>
    </row>
    <row r="146" customFormat="false" ht="15" hidden="false" customHeight="false" outlineLevel="0" collapsed="false">
      <c r="A146" s="11" t="s">
        <v>309</v>
      </c>
      <c r="C146" s="49" t="n">
        <f aca="false">MAX(C5:C144)</f>
        <v>1</v>
      </c>
      <c r="D146" s="49" t="n">
        <f aca="false">MAX(D5:D144)</f>
        <v>1</v>
      </c>
      <c r="E146" s="49" t="n">
        <f aca="false">MAX(E5:E144)</f>
        <v>1</v>
      </c>
      <c r="F146" s="49" t="n">
        <f aca="false">MAX(F5:F144)</f>
        <v>2</v>
      </c>
      <c r="G146" s="49" t="n">
        <f aca="false">MAX(G5:G144)</f>
        <v>1</v>
      </c>
      <c r="H146" s="49" t="n">
        <f aca="false">MAX(H5:H144)</f>
        <v>2</v>
      </c>
      <c r="I146" s="49" t="n">
        <f aca="false">MAX(I5:I144)</f>
        <v>1</v>
      </c>
      <c r="J146" s="49" t="n">
        <f aca="false">MAX(J5:J144)</f>
        <v>1</v>
      </c>
      <c r="K146" s="49" t="n">
        <f aca="false">MAX(K5:K144)</f>
        <v>0.5</v>
      </c>
      <c r="L146" s="49" t="n">
        <f aca="false">MAX(L5:L144)</f>
        <v>0.5</v>
      </c>
      <c r="M146" s="49" t="n">
        <f aca="false">MAX(M5:M144)</f>
        <v>1</v>
      </c>
      <c r="N146" s="49" t="n">
        <f aca="false">MAX(N5:N144)</f>
        <v>5.625</v>
      </c>
    </row>
    <row r="148" customFormat="false" ht="15" hidden="false" customHeight="false" outlineLevel="0" collapsed="false">
      <c r="A148" s="11" t="s">
        <v>310</v>
      </c>
      <c r="C148" s="11" t="str">
        <f aca="false">IF(C146&lt;=C$3+0.0001,"OK","SOBRECARGA")</f>
        <v>OK</v>
      </c>
      <c r="D148" s="11" t="str">
        <f aca="false">IF(D146&lt;=D$3+0.0001,"OK","SOBRECARGA")</f>
        <v>OK</v>
      </c>
      <c r="E148" s="11" t="str">
        <f aca="false">IF(E146&lt;=E$3+0.0001,"OK","SOBRECARGA")</f>
        <v>OK</v>
      </c>
      <c r="F148" s="11" t="str">
        <f aca="false">IF(F146&lt;=F$3+0.0001,"OK","SOBRECARGA")</f>
        <v>OK</v>
      </c>
      <c r="G148" s="11" t="str">
        <f aca="false">IF(G146&lt;=G$3+0.0001,"OK","SOBRECARGA")</f>
        <v>OK</v>
      </c>
      <c r="H148" s="11" t="str">
        <f aca="false">IF(H146&lt;=H$3+0.0001,"OK","SOBRECARGA")</f>
        <v>OK</v>
      </c>
      <c r="I148" s="11" t="str">
        <f aca="false">IF(I146&lt;=I$3+0.0001,"OK","SOBRECARGA")</f>
        <v>OK</v>
      </c>
      <c r="J148" s="11" t="str">
        <f aca="false">IF(J146&lt;=J$3+0.0001,"OK","SOBRECARGA")</f>
        <v>OK</v>
      </c>
      <c r="K148" s="11" t="str">
        <f aca="false">IF(K146&lt;=K$3+0.0001,"OK","SOBRECARGA")</f>
        <v>OK</v>
      </c>
      <c r="L148" s="11" t="str">
        <f aca="false">IF(L146&lt;=L$3+0.0001,"OK","SOBRECARGA")</f>
        <v>OK</v>
      </c>
      <c r="M148" s="11" t="str">
        <f aca="false">IF(SUMPRODUCT(--(M5:M144&gt;IF($B$5:$B$144&lt;VentanaDesde,M$3,1)+0.0001))=0,"OK","SOBRECARGA")</f>
        <v>OK</v>
      </c>
      <c r="N148" s="11" t="str">
        <f aca="false">IF(N146&lt;=N$3+0.0001,"OK","SOBRECARGA")</f>
        <v>OK</v>
      </c>
    </row>
    <row r="150" customFormat="false" ht="15" hidden="false" customHeight="false" outlineLevel="0" collapsed="false">
      <c r="A150" s="2" t="s">
        <v>311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48"/>
    <col collapsed="false" customWidth="true" hidden="false" outlineLevel="0" max="3" min="3" style="0" width="22"/>
    <col collapsed="false" customWidth="true" hidden="false" outlineLevel="0" max="5" min="4" style="0" width="15"/>
    <col collapsed="false" customWidth="true" hidden="false" outlineLevel="0" max="6" min="6" style="0" width="80"/>
  </cols>
  <sheetData>
    <row r="1" customFormat="false" ht="17.35" hidden="false" customHeight="false" outlineLevel="0" collapsed="false">
      <c r="A1" s="1" t="s">
        <v>312</v>
      </c>
    </row>
    <row r="2" customFormat="false" ht="15" hidden="false" customHeight="false" outlineLevel="0" collapsed="false">
      <c r="A2" s="2" t="s">
        <v>313</v>
      </c>
    </row>
    <row r="4" customFormat="false" ht="15" hidden="false" customHeight="false" outlineLevel="0" collapsed="false">
      <c r="A4" s="3" t="s">
        <v>314</v>
      </c>
      <c r="B4" s="3" t="s">
        <v>185</v>
      </c>
      <c r="C4" s="3" t="s">
        <v>191</v>
      </c>
      <c r="D4" s="3" t="s">
        <v>189</v>
      </c>
      <c r="E4" s="3" t="s">
        <v>306</v>
      </c>
      <c r="F4" s="3" t="s">
        <v>315</v>
      </c>
    </row>
    <row r="5" customFormat="false" ht="15" hidden="false" customHeight="false" outlineLevel="0" collapsed="false">
      <c r="A5" s="4" t="s">
        <v>88</v>
      </c>
      <c r="B5" s="4" t="s">
        <v>316</v>
      </c>
      <c r="C5" s="4" t="s">
        <v>265</v>
      </c>
      <c r="D5" s="39" t="n">
        <v>520</v>
      </c>
      <c r="E5" s="50" t="n">
        <v>1</v>
      </c>
      <c r="F5" s="6" t="s">
        <v>317</v>
      </c>
    </row>
    <row r="6" customFormat="false" ht="15" hidden="false" customHeight="false" outlineLevel="0" collapsed="false">
      <c r="A6" s="4" t="s">
        <v>105</v>
      </c>
      <c r="B6" s="4" t="s">
        <v>318</v>
      </c>
      <c r="C6" s="4" t="s">
        <v>265</v>
      </c>
      <c r="D6" s="39" t="n">
        <v>480</v>
      </c>
      <c r="E6" s="50" t="n">
        <v>1</v>
      </c>
      <c r="F6" s="6" t="s">
        <v>319</v>
      </c>
    </row>
    <row r="7" customFormat="false" ht="15" hidden="false" customHeight="false" outlineLevel="0" collapsed="false">
      <c r="A7" s="4" t="s">
        <v>196</v>
      </c>
      <c r="B7" s="4" t="s">
        <v>320</v>
      </c>
      <c r="C7" s="4" t="s">
        <v>265</v>
      </c>
      <c r="D7" s="39" t="n">
        <v>420</v>
      </c>
      <c r="E7" s="50" t="n">
        <v>1</v>
      </c>
      <c r="F7" s="6" t="s">
        <v>321</v>
      </c>
    </row>
    <row r="8" customFormat="false" ht="15" hidden="false" customHeight="false" outlineLevel="0" collapsed="false">
      <c r="A8" s="4" t="s">
        <v>195</v>
      </c>
      <c r="B8" s="4" t="s">
        <v>322</v>
      </c>
      <c r="C8" s="4" t="s">
        <v>265</v>
      </c>
      <c r="D8" s="39" t="n">
        <v>440</v>
      </c>
      <c r="E8" s="50" t="n">
        <v>2</v>
      </c>
      <c r="F8" s="6" t="s">
        <v>323</v>
      </c>
    </row>
    <row r="9" customFormat="false" ht="15" hidden="false" customHeight="false" outlineLevel="0" collapsed="false">
      <c r="A9" s="4" t="s">
        <v>138</v>
      </c>
      <c r="B9" s="4" t="s">
        <v>324</v>
      </c>
      <c r="C9" s="4" t="s">
        <v>265</v>
      </c>
      <c r="D9" s="39" t="n">
        <v>360</v>
      </c>
      <c r="E9" s="50" t="n">
        <v>1</v>
      </c>
      <c r="F9" s="6" t="s">
        <v>325</v>
      </c>
    </row>
    <row r="10" customFormat="false" ht="15" hidden="false" customHeight="false" outlineLevel="0" collapsed="false">
      <c r="A10" s="4" t="s">
        <v>197</v>
      </c>
      <c r="B10" s="4" t="s">
        <v>326</v>
      </c>
      <c r="C10" s="4" t="s">
        <v>249</v>
      </c>
      <c r="D10" s="39" t="n">
        <v>480</v>
      </c>
      <c r="E10" s="50" t="n">
        <v>2</v>
      </c>
      <c r="F10" s="6" t="s">
        <v>327</v>
      </c>
    </row>
    <row r="11" customFormat="false" ht="15" hidden="false" customHeight="false" outlineLevel="0" collapsed="false">
      <c r="A11" s="4" t="s">
        <v>194</v>
      </c>
      <c r="B11" s="4" t="s">
        <v>328</v>
      </c>
      <c r="C11" s="4" t="s">
        <v>217</v>
      </c>
      <c r="D11" s="39" t="n">
        <v>460</v>
      </c>
      <c r="E11" s="50" t="n">
        <v>1</v>
      </c>
      <c r="F11" s="6" t="s">
        <v>329</v>
      </c>
    </row>
    <row r="12" customFormat="false" ht="15" hidden="false" customHeight="false" outlineLevel="0" collapsed="false">
      <c r="A12" s="4" t="s">
        <v>199</v>
      </c>
      <c r="B12" s="4" t="s">
        <v>330</v>
      </c>
      <c r="C12" s="4" t="s">
        <v>234</v>
      </c>
      <c r="D12" s="39" t="n">
        <v>400</v>
      </c>
      <c r="E12" s="50" t="n">
        <v>1</v>
      </c>
      <c r="F12" s="6" t="s">
        <v>331</v>
      </c>
    </row>
    <row r="13" customFormat="false" ht="15" hidden="false" customHeight="false" outlineLevel="0" collapsed="false">
      <c r="A13" s="4" t="s">
        <v>198</v>
      </c>
      <c r="B13" s="4" t="s">
        <v>332</v>
      </c>
      <c r="C13" s="4" t="s">
        <v>266</v>
      </c>
      <c r="D13" s="39" t="n">
        <v>190</v>
      </c>
      <c r="E13" s="50" t="n">
        <v>0.5</v>
      </c>
      <c r="F13" s="6" t="s">
        <v>333</v>
      </c>
    </row>
    <row r="14" customFormat="false" ht="15" hidden="false" customHeight="false" outlineLevel="0" collapsed="false">
      <c r="A14" s="4" t="s">
        <v>193</v>
      </c>
      <c r="B14" s="4" t="s">
        <v>334</v>
      </c>
      <c r="C14" s="4" t="s">
        <v>266</v>
      </c>
      <c r="D14" s="39" t="n">
        <v>170</v>
      </c>
      <c r="E14" s="50" t="n">
        <v>0.5</v>
      </c>
      <c r="F14" s="6" t="s">
        <v>335</v>
      </c>
    </row>
    <row r="15" customFormat="false" ht="15" hidden="false" customHeight="false" outlineLevel="0" collapsed="false">
      <c r="A15" s="4" t="s">
        <v>192</v>
      </c>
      <c r="B15" s="4" t="s">
        <v>336</v>
      </c>
      <c r="C15" s="4" t="s">
        <v>266</v>
      </c>
      <c r="D15" s="39" t="n">
        <v>160</v>
      </c>
      <c r="E15" s="50" t="n">
        <v>0.5</v>
      </c>
      <c r="F15" s="6" t="s">
        <v>337</v>
      </c>
    </row>
    <row r="16" customFormat="false" ht="15" hidden="false" customHeight="false" outlineLevel="0" collapsed="false">
      <c r="A16" s="4" t="s">
        <v>200</v>
      </c>
      <c r="B16" s="4" t="s">
        <v>338</v>
      </c>
      <c r="C16" s="4" t="s">
        <v>266</v>
      </c>
      <c r="D16" s="39" t="n">
        <v>150</v>
      </c>
      <c r="E16" s="17" t="n">
        <v>99</v>
      </c>
      <c r="F16" s="6" t="s">
        <v>339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16"/>
    <col collapsed="false" customWidth="true" hidden="false" outlineLevel="0" max="3" min="3" style="0" width="95"/>
  </cols>
  <sheetData>
    <row r="1" customFormat="false" ht="17.35" hidden="false" customHeight="false" outlineLevel="0" collapsed="false">
      <c r="A1" s="1" t="s">
        <v>340</v>
      </c>
    </row>
    <row r="2" customFormat="false" ht="15" hidden="false" customHeight="false" outlineLevel="0" collapsed="false">
      <c r="A2" s="2" t="s">
        <v>341</v>
      </c>
    </row>
    <row r="3" customFormat="false" ht="15" hidden="false" customHeight="false" outlineLevel="0" collapsed="false">
      <c r="A3" s="3" t="s">
        <v>342</v>
      </c>
      <c r="B3" s="3" t="s">
        <v>3</v>
      </c>
      <c r="C3" s="3" t="s">
        <v>343</v>
      </c>
    </row>
    <row r="4" customFormat="false" ht="15" hidden="false" customHeight="false" outlineLevel="0" collapsed="false">
      <c r="A4" s="4" t="s">
        <v>344</v>
      </c>
      <c r="B4" s="12" t="n">
        <v>46296</v>
      </c>
      <c r="C4" s="51" t="s">
        <v>345</v>
      </c>
    </row>
    <row r="5" customFormat="false" ht="15" hidden="false" customHeight="false" outlineLevel="0" collapsed="false">
      <c r="A5" s="4" t="s">
        <v>346</v>
      </c>
      <c r="B5" s="12" t="n">
        <v>46388</v>
      </c>
      <c r="C5" s="51" t="s">
        <v>347</v>
      </c>
    </row>
    <row r="6" customFormat="false" ht="15" hidden="false" customHeight="false" outlineLevel="0" collapsed="false">
      <c r="A6" s="4" t="s">
        <v>348</v>
      </c>
      <c r="B6" s="12" t="n">
        <v>46461</v>
      </c>
      <c r="C6" s="51" t="s">
        <v>349</v>
      </c>
    </row>
    <row r="7" customFormat="false" ht="15" hidden="false" customHeight="false" outlineLevel="0" collapsed="false">
      <c r="A7" s="4" t="s">
        <v>350</v>
      </c>
      <c r="B7" s="39" t="n">
        <v>22000</v>
      </c>
      <c r="C7" s="51" t="s">
        <v>351</v>
      </c>
    </row>
    <row r="8" customFormat="false" ht="15" hidden="false" customHeight="false" outlineLevel="0" collapsed="false">
      <c r="A8" s="4" t="s">
        <v>352</v>
      </c>
      <c r="B8" s="52" t="n">
        <v>0.04</v>
      </c>
      <c r="C8" s="51" t="s">
        <v>353</v>
      </c>
    </row>
    <row r="9" customFormat="false" ht="15" hidden="false" customHeight="false" outlineLevel="0" collapsed="false">
      <c r="A9" s="4" t="s">
        <v>354</v>
      </c>
      <c r="B9" s="52" t="n">
        <v>0.1</v>
      </c>
      <c r="C9" s="51" t="s">
        <v>355</v>
      </c>
    </row>
    <row r="10" customFormat="false" ht="15" hidden="false" customHeight="false" outlineLevel="0" collapsed="false">
      <c r="A10" s="4" t="s">
        <v>30</v>
      </c>
      <c r="B10" s="39" t="n">
        <v>420000</v>
      </c>
      <c r="C10" s="51" t="s">
        <v>356</v>
      </c>
    </row>
    <row r="11" customFormat="false" ht="15" hidden="false" customHeight="false" outlineLevel="0" collapsed="false">
      <c r="A11" s="4" t="s">
        <v>357</v>
      </c>
      <c r="B11" s="39" t="n">
        <v>398000</v>
      </c>
      <c r="C11" s="51" t="s">
        <v>358</v>
      </c>
    </row>
    <row r="12" customFormat="false" ht="15" hidden="false" customHeight="false" outlineLevel="0" collapsed="false">
      <c r="A12" s="4" t="s">
        <v>359</v>
      </c>
      <c r="B12" s="17" t="n">
        <v>5</v>
      </c>
      <c r="C12" s="51" t="s">
        <v>360</v>
      </c>
    </row>
    <row r="13" customFormat="false" ht="15" hidden="false" customHeight="false" outlineLevel="0" collapsed="false">
      <c r="A13" s="4" t="s">
        <v>361</v>
      </c>
      <c r="B13" s="17" t="n">
        <v>10</v>
      </c>
      <c r="C13" s="51" t="s">
        <v>362</v>
      </c>
    </row>
    <row r="14" customFormat="false" ht="15" hidden="false" customHeight="false" outlineLevel="0" collapsed="false">
      <c r="A14" s="4" t="s">
        <v>363</v>
      </c>
      <c r="B14" s="17" t="n">
        <v>2</v>
      </c>
      <c r="C14" s="51" t="s">
        <v>364</v>
      </c>
    </row>
    <row r="15" customFormat="false" ht="15" hidden="false" customHeight="false" outlineLevel="0" collapsed="false">
      <c r="A15" s="4" t="s">
        <v>365</v>
      </c>
      <c r="B15" s="17" t="n">
        <v>4</v>
      </c>
      <c r="C15" s="51" t="s">
        <v>366</v>
      </c>
    </row>
    <row r="16" customFormat="false" ht="15" hidden="false" customHeight="false" outlineLevel="0" collapsed="false">
      <c r="A16" s="4" t="s">
        <v>367</v>
      </c>
      <c r="B16" s="17" t="n">
        <v>21</v>
      </c>
      <c r="C16" s="51" t="s">
        <v>368</v>
      </c>
    </row>
    <row r="17" customFormat="false" ht="15" hidden="false" customHeight="false" outlineLevel="0" collapsed="false">
      <c r="A17" s="4" t="s">
        <v>369</v>
      </c>
      <c r="B17" s="17" t="n">
        <v>120</v>
      </c>
      <c r="C17" s="51" t="s">
        <v>370</v>
      </c>
    </row>
    <row r="18" customFormat="false" ht="15" hidden="false" customHeight="false" outlineLevel="0" collapsed="false">
      <c r="A18" s="4" t="s">
        <v>371</v>
      </c>
      <c r="B18" s="50" t="n">
        <v>1.5</v>
      </c>
      <c r="C18" s="51" t="s">
        <v>372</v>
      </c>
    </row>
    <row r="20" customFormat="false" ht="15" hidden="false" customHeight="false" outlineLevel="0" collapsed="false">
      <c r="A20" s="11" t="s">
        <v>373</v>
      </c>
    </row>
    <row r="21" customFormat="false" ht="15" hidden="false" customHeight="false" outlineLevel="0" collapsed="false">
      <c r="A21" s="3" t="s">
        <v>308</v>
      </c>
      <c r="B21" s="3" t="s">
        <v>37</v>
      </c>
    </row>
    <row r="22" customFormat="false" ht="15" hidden="false" customHeight="false" outlineLevel="0" collapsed="false">
      <c r="A22" s="12" t="n">
        <v>46307</v>
      </c>
      <c r="B22" s="4" t="s">
        <v>374</v>
      </c>
    </row>
    <row r="23" customFormat="false" ht="15" hidden="false" customHeight="false" outlineLevel="0" collapsed="false">
      <c r="A23" s="12" t="n">
        <v>46349</v>
      </c>
      <c r="B23" s="4" t="s">
        <v>375</v>
      </c>
    </row>
    <row r="24" customFormat="false" ht="15" hidden="false" customHeight="false" outlineLevel="0" collapsed="false">
      <c r="A24" s="12" t="n">
        <v>46363</v>
      </c>
      <c r="B24" s="4" t="s">
        <v>376</v>
      </c>
    </row>
    <row r="25" customFormat="false" ht="15" hidden="false" customHeight="false" outlineLevel="0" collapsed="false">
      <c r="A25" s="12" t="n">
        <v>46364</v>
      </c>
      <c r="B25" s="4" t="s">
        <v>377</v>
      </c>
    </row>
    <row r="26" customFormat="false" ht="15" hidden="false" customHeight="false" outlineLevel="0" collapsed="false">
      <c r="A26" s="12" t="n">
        <v>46381</v>
      </c>
      <c r="B26" s="4" t="s">
        <v>378</v>
      </c>
    </row>
    <row r="27" customFormat="false" ht="15" hidden="false" customHeight="false" outlineLevel="0" collapsed="false">
      <c r="A27" s="12" t="n">
        <v>46388</v>
      </c>
      <c r="B27" s="4" t="s">
        <v>379</v>
      </c>
    </row>
    <row r="28" customFormat="false" ht="15" hidden="false" customHeight="false" outlineLevel="0" collapsed="false">
      <c r="A28" s="12" t="n">
        <v>46426</v>
      </c>
      <c r="B28" s="4" t="s">
        <v>380</v>
      </c>
    </row>
    <row r="29" customFormat="false" ht="15" hidden="false" customHeight="false" outlineLevel="0" collapsed="false">
      <c r="A29" s="12" t="n">
        <v>46427</v>
      </c>
      <c r="B29" s="4" t="s">
        <v>380</v>
      </c>
    </row>
    <row r="30" customFormat="false" ht="15" hidden="false" customHeight="false" outlineLevel="0" collapsed="false">
      <c r="A30" s="12" t="n">
        <v>46470</v>
      </c>
      <c r="B30" s="4" t="s">
        <v>381</v>
      </c>
    </row>
    <row r="31" customFormat="false" ht="15" hidden="false" customHeight="false" outlineLevel="0" collapsed="false">
      <c r="A31" s="12" t="n">
        <v>46471</v>
      </c>
      <c r="B31" s="4" t="s">
        <v>382</v>
      </c>
    </row>
    <row r="32" customFormat="false" ht="15" hidden="false" customHeight="false" outlineLevel="0" collapsed="false">
      <c r="A32" s="12" t="n">
        <v>46472</v>
      </c>
      <c r="B32" s="4" t="s">
        <v>383</v>
      </c>
    </row>
    <row r="33" customFormat="false" ht="15" hidden="false" customHeight="false" outlineLevel="0" collapsed="false">
      <c r="A33" s="12" t="n">
        <v>46479</v>
      </c>
      <c r="B33" s="4" t="s">
        <v>384</v>
      </c>
    </row>
    <row r="35" customFormat="false" ht="15" hidden="false" customHeight="false" outlineLevel="0" collapsed="false">
      <c r="A35" s="2" t="s">
        <v>385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14"/>
  </cols>
  <sheetData>
    <row r="1" customFormat="false" ht="15" hidden="false" customHeight="false" outlineLevel="0" collapsed="false">
      <c r="A1" s="11" t="s">
        <v>386</v>
      </c>
    </row>
    <row r="2" customFormat="false" ht="15" hidden="false" customHeight="false" outlineLevel="0" collapsed="false">
      <c r="A2" s="3" t="s">
        <v>307</v>
      </c>
      <c r="B2" s="3" t="s">
        <v>308</v>
      </c>
    </row>
    <row r="3" customFormat="false" ht="15" hidden="false" customHeight="false" outlineLevel="0" collapsed="false">
      <c r="A3" s="26" t="n">
        <v>0</v>
      </c>
      <c r="B3" s="47" t="n">
        <f aca="false">InicioProyecto</f>
        <v>46296</v>
      </c>
    </row>
    <row r="4" customFormat="false" ht="15" hidden="false" customHeight="false" outlineLevel="0" collapsed="false">
      <c r="A4" s="26" t="n">
        <v>1</v>
      </c>
      <c r="B4" s="47" t="n">
        <f aca="false">WORKDAY(B3,1,Feriados)</f>
        <v>46297</v>
      </c>
    </row>
    <row r="5" customFormat="false" ht="15" hidden="false" customHeight="false" outlineLevel="0" collapsed="false">
      <c r="A5" s="26" t="n">
        <v>2</v>
      </c>
      <c r="B5" s="47" t="n">
        <f aca="false">WORKDAY(B4,1,Feriados)</f>
        <v>46300</v>
      </c>
    </row>
    <row r="6" customFormat="false" ht="15" hidden="false" customHeight="false" outlineLevel="0" collapsed="false">
      <c r="A6" s="26" t="n">
        <v>3</v>
      </c>
      <c r="B6" s="47" t="n">
        <f aca="false">WORKDAY(B5,1,Feriados)</f>
        <v>46301</v>
      </c>
    </row>
    <row r="7" customFormat="false" ht="15" hidden="false" customHeight="false" outlineLevel="0" collapsed="false">
      <c r="A7" s="26" t="n">
        <v>4</v>
      </c>
      <c r="B7" s="47" t="n">
        <f aca="false">WORKDAY(B6,1,Feriados)</f>
        <v>46302</v>
      </c>
    </row>
    <row r="8" customFormat="false" ht="15" hidden="false" customHeight="false" outlineLevel="0" collapsed="false">
      <c r="A8" s="26" t="n">
        <v>5</v>
      </c>
      <c r="B8" s="47" t="n">
        <f aca="false">WORKDAY(B7,1,Feriados)</f>
        <v>46303</v>
      </c>
    </row>
    <row r="9" customFormat="false" ht="15" hidden="false" customHeight="false" outlineLevel="0" collapsed="false">
      <c r="A9" s="26" t="n">
        <v>6</v>
      </c>
      <c r="B9" s="47" t="n">
        <f aca="false">WORKDAY(B8,1,Feriados)</f>
        <v>46304</v>
      </c>
    </row>
    <row r="10" customFormat="false" ht="15" hidden="false" customHeight="false" outlineLevel="0" collapsed="false">
      <c r="A10" s="26" t="n">
        <v>7</v>
      </c>
      <c r="B10" s="47" t="n">
        <f aca="false">WORKDAY(B9,1,Feriados)</f>
        <v>46308</v>
      </c>
    </row>
    <row r="11" customFormat="false" ht="15" hidden="false" customHeight="false" outlineLevel="0" collapsed="false">
      <c r="A11" s="26" t="n">
        <v>8</v>
      </c>
      <c r="B11" s="47" t="n">
        <f aca="false">WORKDAY(B10,1,Feriados)</f>
        <v>46309</v>
      </c>
    </row>
    <row r="12" customFormat="false" ht="15" hidden="false" customHeight="false" outlineLevel="0" collapsed="false">
      <c r="A12" s="26" t="n">
        <v>9</v>
      </c>
      <c r="B12" s="47" t="n">
        <f aca="false">WORKDAY(B11,1,Feriados)</f>
        <v>46310</v>
      </c>
    </row>
    <row r="13" customFormat="false" ht="15" hidden="false" customHeight="false" outlineLevel="0" collapsed="false">
      <c r="A13" s="26" t="n">
        <v>10</v>
      </c>
      <c r="B13" s="47" t="n">
        <f aca="false">WORKDAY(B12,1,Feriados)</f>
        <v>46311</v>
      </c>
    </row>
    <row r="14" customFormat="false" ht="15" hidden="false" customHeight="false" outlineLevel="0" collapsed="false">
      <c r="A14" s="26" t="n">
        <v>11</v>
      </c>
      <c r="B14" s="47" t="n">
        <f aca="false">WORKDAY(B13,1,Feriados)</f>
        <v>46314</v>
      </c>
    </row>
    <row r="15" customFormat="false" ht="15" hidden="false" customHeight="false" outlineLevel="0" collapsed="false">
      <c r="A15" s="26" t="n">
        <v>12</v>
      </c>
      <c r="B15" s="47" t="n">
        <f aca="false">WORKDAY(B14,1,Feriados)</f>
        <v>46315</v>
      </c>
    </row>
    <row r="16" customFormat="false" ht="15" hidden="false" customHeight="false" outlineLevel="0" collapsed="false">
      <c r="A16" s="26" t="n">
        <v>13</v>
      </c>
      <c r="B16" s="47" t="n">
        <f aca="false">WORKDAY(B15,1,Feriados)</f>
        <v>46316</v>
      </c>
    </row>
    <row r="17" customFormat="false" ht="15" hidden="false" customHeight="false" outlineLevel="0" collapsed="false">
      <c r="A17" s="26" t="n">
        <v>14</v>
      </c>
      <c r="B17" s="47" t="n">
        <f aca="false">WORKDAY(B16,1,Feriados)</f>
        <v>46317</v>
      </c>
    </row>
    <row r="18" customFormat="false" ht="15" hidden="false" customHeight="false" outlineLevel="0" collapsed="false">
      <c r="A18" s="26" t="n">
        <v>15</v>
      </c>
      <c r="B18" s="47" t="n">
        <f aca="false">WORKDAY(B17,1,Feriados)</f>
        <v>46318</v>
      </c>
    </row>
    <row r="19" customFormat="false" ht="15" hidden="false" customHeight="false" outlineLevel="0" collapsed="false">
      <c r="A19" s="26" t="n">
        <v>16</v>
      </c>
      <c r="B19" s="47" t="n">
        <f aca="false">WORKDAY(B18,1,Feriados)</f>
        <v>46321</v>
      </c>
    </row>
    <row r="20" customFormat="false" ht="15" hidden="false" customHeight="false" outlineLevel="0" collapsed="false">
      <c r="A20" s="26" t="n">
        <v>17</v>
      </c>
      <c r="B20" s="47" t="n">
        <f aca="false">WORKDAY(B19,1,Feriados)</f>
        <v>46322</v>
      </c>
    </row>
    <row r="21" customFormat="false" ht="15" hidden="false" customHeight="false" outlineLevel="0" collapsed="false">
      <c r="A21" s="26" t="n">
        <v>18</v>
      </c>
      <c r="B21" s="47" t="n">
        <f aca="false">WORKDAY(B20,1,Feriados)</f>
        <v>46323</v>
      </c>
    </row>
    <row r="22" customFormat="false" ht="15" hidden="false" customHeight="false" outlineLevel="0" collapsed="false">
      <c r="A22" s="26" t="n">
        <v>19</v>
      </c>
      <c r="B22" s="47" t="n">
        <f aca="false">WORKDAY(B21,1,Feriados)</f>
        <v>46324</v>
      </c>
    </row>
    <row r="23" customFormat="false" ht="15" hidden="false" customHeight="false" outlineLevel="0" collapsed="false">
      <c r="A23" s="26" t="n">
        <v>20</v>
      </c>
      <c r="B23" s="47" t="n">
        <f aca="false">WORKDAY(B22,1,Feriados)</f>
        <v>46325</v>
      </c>
    </row>
    <row r="24" customFormat="false" ht="15" hidden="false" customHeight="false" outlineLevel="0" collapsed="false">
      <c r="A24" s="26" t="n">
        <v>21</v>
      </c>
      <c r="B24" s="47" t="n">
        <f aca="false">WORKDAY(B23,1,Feriados)</f>
        <v>46328</v>
      </c>
    </row>
    <row r="25" customFormat="false" ht="15" hidden="false" customHeight="false" outlineLevel="0" collapsed="false">
      <c r="A25" s="26" t="n">
        <v>22</v>
      </c>
      <c r="B25" s="47" t="n">
        <f aca="false">WORKDAY(B24,1,Feriados)</f>
        <v>46329</v>
      </c>
    </row>
    <row r="26" customFormat="false" ht="15" hidden="false" customHeight="false" outlineLevel="0" collapsed="false">
      <c r="A26" s="26" t="n">
        <v>23</v>
      </c>
      <c r="B26" s="47" t="n">
        <f aca="false">WORKDAY(B25,1,Feriados)</f>
        <v>46330</v>
      </c>
    </row>
    <row r="27" customFormat="false" ht="15" hidden="false" customHeight="false" outlineLevel="0" collapsed="false">
      <c r="A27" s="26" t="n">
        <v>24</v>
      </c>
      <c r="B27" s="47" t="n">
        <f aca="false">WORKDAY(B26,1,Feriados)</f>
        <v>46331</v>
      </c>
    </row>
    <row r="28" customFormat="false" ht="15" hidden="false" customHeight="false" outlineLevel="0" collapsed="false">
      <c r="A28" s="26" t="n">
        <v>25</v>
      </c>
      <c r="B28" s="47" t="n">
        <f aca="false">WORKDAY(B27,1,Feriados)</f>
        <v>46332</v>
      </c>
    </row>
    <row r="29" customFormat="false" ht="15" hidden="false" customHeight="false" outlineLevel="0" collapsed="false">
      <c r="A29" s="26" t="n">
        <v>26</v>
      </c>
      <c r="B29" s="47" t="n">
        <f aca="false">WORKDAY(B28,1,Feriados)</f>
        <v>46335</v>
      </c>
    </row>
    <row r="30" customFormat="false" ht="15" hidden="false" customHeight="false" outlineLevel="0" collapsed="false">
      <c r="A30" s="26" t="n">
        <v>27</v>
      </c>
      <c r="B30" s="47" t="n">
        <f aca="false">WORKDAY(B29,1,Feriados)</f>
        <v>46336</v>
      </c>
    </row>
    <row r="31" customFormat="false" ht="15" hidden="false" customHeight="false" outlineLevel="0" collapsed="false">
      <c r="A31" s="26" t="n">
        <v>28</v>
      </c>
      <c r="B31" s="47" t="n">
        <f aca="false">WORKDAY(B30,1,Feriados)</f>
        <v>46337</v>
      </c>
    </row>
    <row r="32" customFormat="false" ht="15" hidden="false" customHeight="false" outlineLevel="0" collapsed="false">
      <c r="A32" s="26" t="n">
        <v>29</v>
      </c>
      <c r="B32" s="47" t="n">
        <f aca="false">WORKDAY(B31,1,Feriados)</f>
        <v>46338</v>
      </c>
    </row>
    <row r="33" customFormat="false" ht="15" hidden="false" customHeight="false" outlineLevel="0" collapsed="false">
      <c r="A33" s="26" t="n">
        <v>30</v>
      </c>
      <c r="B33" s="47" t="n">
        <f aca="false">WORKDAY(B32,1,Feriados)</f>
        <v>46339</v>
      </c>
    </row>
    <row r="34" customFormat="false" ht="15" hidden="false" customHeight="false" outlineLevel="0" collapsed="false">
      <c r="A34" s="26" t="n">
        <v>31</v>
      </c>
      <c r="B34" s="47" t="n">
        <f aca="false">WORKDAY(B33,1,Feriados)</f>
        <v>46342</v>
      </c>
    </row>
    <row r="35" customFormat="false" ht="15" hidden="false" customHeight="false" outlineLevel="0" collapsed="false">
      <c r="A35" s="26" t="n">
        <v>32</v>
      </c>
      <c r="B35" s="47" t="n">
        <f aca="false">WORKDAY(B34,1,Feriados)</f>
        <v>46343</v>
      </c>
    </row>
    <row r="36" customFormat="false" ht="15" hidden="false" customHeight="false" outlineLevel="0" collapsed="false">
      <c r="A36" s="26" t="n">
        <v>33</v>
      </c>
      <c r="B36" s="47" t="n">
        <f aca="false">WORKDAY(B35,1,Feriados)</f>
        <v>46344</v>
      </c>
    </row>
    <row r="37" customFormat="false" ht="15" hidden="false" customHeight="false" outlineLevel="0" collapsed="false">
      <c r="A37" s="26" t="n">
        <v>34</v>
      </c>
      <c r="B37" s="47" t="n">
        <f aca="false">WORKDAY(B36,1,Feriados)</f>
        <v>46345</v>
      </c>
    </row>
    <row r="38" customFormat="false" ht="15" hidden="false" customHeight="false" outlineLevel="0" collapsed="false">
      <c r="A38" s="26" t="n">
        <v>35</v>
      </c>
      <c r="B38" s="47" t="n">
        <f aca="false">WORKDAY(B37,1,Feriados)</f>
        <v>46346</v>
      </c>
    </row>
    <row r="39" customFormat="false" ht="15" hidden="false" customHeight="false" outlineLevel="0" collapsed="false">
      <c r="A39" s="26" t="n">
        <v>36</v>
      </c>
      <c r="B39" s="47" t="n">
        <f aca="false">WORKDAY(B38,1,Feriados)</f>
        <v>46350</v>
      </c>
    </row>
    <row r="40" customFormat="false" ht="15" hidden="false" customHeight="false" outlineLevel="0" collapsed="false">
      <c r="A40" s="26" t="n">
        <v>37</v>
      </c>
      <c r="B40" s="47" t="n">
        <f aca="false">WORKDAY(B39,1,Feriados)</f>
        <v>46351</v>
      </c>
    </row>
    <row r="41" customFormat="false" ht="15" hidden="false" customHeight="false" outlineLevel="0" collapsed="false">
      <c r="A41" s="26" t="n">
        <v>38</v>
      </c>
      <c r="B41" s="47" t="n">
        <f aca="false">WORKDAY(B40,1,Feriados)</f>
        <v>46352</v>
      </c>
    </row>
    <row r="42" customFormat="false" ht="15" hidden="false" customHeight="false" outlineLevel="0" collapsed="false">
      <c r="A42" s="26" t="n">
        <v>39</v>
      </c>
      <c r="B42" s="47" t="n">
        <f aca="false">WORKDAY(B41,1,Feriados)</f>
        <v>46353</v>
      </c>
    </row>
    <row r="43" customFormat="false" ht="15" hidden="false" customHeight="false" outlineLevel="0" collapsed="false">
      <c r="A43" s="26" t="n">
        <v>40</v>
      </c>
      <c r="B43" s="47" t="n">
        <f aca="false">WORKDAY(B42,1,Feriados)</f>
        <v>46356</v>
      </c>
    </row>
    <row r="44" customFormat="false" ht="15" hidden="false" customHeight="false" outlineLevel="0" collapsed="false">
      <c r="A44" s="26" t="n">
        <v>41</v>
      </c>
      <c r="B44" s="47" t="n">
        <f aca="false">WORKDAY(B43,1,Feriados)</f>
        <v>46357</v>
      </c>
    </row>
    <row r="45" customFormat="false" ht="15" hidden="false" customHeight="false" outlineLevel="0" collapsed="false">
      <c r="A45" s="26" t="n">
        <v>42</v>
      </c>
      <c r="B45" s="47" t="n">
        <f aca="false">WORKDAY(B44,1,Feriados)</f>
        <v>46358</v>
      </c>
    </row>
    <row r="46" customFormat="false" ht="15" hidden="false" customHeight="false" outlineLevel="0" collapsed="false">
      <c r="A46" s="26" t="n">
        <v>43</v>
      </c>
      <c r="B46" s="47" t="n">
        <f aca="false">WORKDAY(B45,1,Feriados)</f>
        <v>46359</v>
      </c>
    </row>
    <row r="47" customFormat="false" ht="15" hidden="false" customHeight="false" outlineLevel="0" collapsed="false">
      <c r="A47" s="26" t="n">
        <v>44</v>
      </c>
      <c r="B47" s="47" t="n">
        <f aca="false">WORKDAY(B46,1,Feriados)</f>
        <v>46360</v>
      </c>
    </row>
    <row r="48" customFormat="false" ht="15" hidden="false" customHeight="false" outlineLevel="0" collapsed="false">
      <c r="A48" s="26" t="n">
        <v>45</v>
      </c>
      <c r="B48" s="47" t="n">
        <f aca="false">WORKDAY(B47,1,Feriados)</f>
        <v>46365</v>
      </c>
    </row>
    <row r="49" customFormat="false" ht="15" hidden="false" customHeight="false" outlineLevel="0" collapsed="false">
      <c r="A49" s="26" t="n">
        <v>46</v>
      </c>
      <c r="B49" s="47" t="n">
        <f aca="false">WORKDAY(B48,1,Feriados)</f>
        <v>46366</v>
      </c>
    </row>
    <row r="50" customFormat="false" ht="15" hidden="false" customHeight="false" outlineLevel="0" collapsed="false">
      <c r="A50" s="26" t="n">
        <v>47</v>
      </c>
      <c r="B50" s="47" t="n">
        <f aca="false">WORKDAY(B49,1,Feriados)</f>
        <v>46367</v>
      </c>
    </row>
    <row r="51" customFormat="false" ht="15" hidden="false" customHeight="false" outlineLevel="0" collapsed="false">
      <c r="A51" s="26" t="n">
        <v>48</v>
      </c>
      <c r="B51" s="47" t="n">
        <f aca="false">WORKDAY(B50,1,Feriados)</f>
        <v>46370</v>
      </c>
    </row>
    <row r="52" customFormat="false" ht="15" hidden="false" customHeight="false" outlineLevel="0" collapsed="false">
      <c r="A52" s="26" t="n">
        <v>49</v>
      </c>
      <c r="B52" s="47" t="n">
        <f aca="false">WORKDAY(B51,1,Feriados)</f>
        <v>46371</v>
      </c>
    </row>
    <row r="53" customFormat="false" ht="15" hidden="false" customHeight="false" outlineLevel="0" collapsed="false">
      <c r="A53" s="26" t="n">
        <v>50</v>
      </c>
      <c r="B53" s="47" t="n">
        <f aca="false">WORKDAY(B52,1,Feriados)</f>
        <v>46372</v>
      </c>
    </row>
    <row r="54" customFormat="false" ht="15" hidden="false" customHeight="false" outlineLevel="0" collapsed="false">
      <c r="A54" s="26" t="n">
        <v>51</v>
      </c>
      <c r="B54" s="47" t="n">
        <f aca="false">WORKDAY(B53,1,Feriados)</f>
        <v>46373</v>
      </c>
    </row>
    <row r="55" customFormat="false" ht="15" hidden="false" customHeight="false" outlineLevel="0" collapsed="false">
      <c r="A55" s="26" t="n">
        <v>52</v>
      </c>
      <c r="B55" s="47" t="n">
        <f aca="false">WORKDAY(B54,1,Feriados)</f>
        <v>46374</v>
      </c>
    </row>
    <row r="56" customFormat="false" ht="15" hidden="false" customHeight="false" outlineLevel="0" collapsed="false">
      <c r="A56" s="26" t="n">
        <v>53</v>
      </c>
      <c r="B56" s="47" t="n">
        <f aca="false">WORKDAY(B55,1,Feriados)</f>
        <v>46377</v>
      </c>
    </row>
    <row r="57" customFormat="false" ht="15" hidden="false" customHeight="false" outlineLevel="0" collapsed="false">
      <c r="A57" s="26" t="n">
        <v>54</v>
      </c>
      <c r="B57" s="47" t="n">
        <f aca="false">WORKDAY(B56,1,Feriados)</f>
        <v>46378</v>
      </c>
    </row>
    <row r="58" customFormat="false" ht="15" hidden="false" customHeight="false" outlineLevel="0" collapsed="false">
      <c r="A58" s="26" t="n">
        <v>55</v>
      </c>
      <c r="B58" s="47" t="n">
        <f aca="false">WORKDAY(B57,1,Feriados)</f>
        <v>46379</v>
      </c>
    </row>
    <row r="59" customFormat="false" ht="15" hidden="false" customHeight="false" outlineLevel="0" collapsed="false">
      <c r="A59" s="26" t="n">
        <v>56</v>
      </c>
      <c r="B59" s="47" t="n">
        <f aca="false">WORKDAY(B58,1,Feriados)</f>
        <v>46380</v>
      </c>
    </row>
    <row r="60" customFormat="false" ht="15" hidden="false" customHeight="false" outlineLevel="0" collapsed="false">
      <c r="A60" s="26" t="n">
        <v>57</v>
      </c>
      <c r="B60" s="47" t="n">
        <f aca="false">WORKDAY(B59,1,Feriados)</f>
        <v>46384</v>
      </c>
    </row>
    <row r="61" customFormat="false" ht="15" hidden="false" customHeight="false" outlineLevel="0" collapsed="false">
      <c r="A61" s="26" t="n">
        <v>58</v>
      </c>
      <c r="B61" s="47" t="n">
        <f aca="false">WORKDAY(B60,1,Feriados)</f>
        <v>46385</v>
      </c>
    </row>
    <row r="62" customFormat="false" ht="15" hidden="false" customHeight="false" outlineLevel="0" collapsed="false">
      <c r="A62" s="26" t="n">
        <v>59</v>
      </c>
      <c r="B62" s="47" t="n">
        <f aca="false">WORKDAY(B61,1,Feriados)</f>
        <v>46386</v>
      </c>
    </row>
    <row r="63" customFormat="false" ht="15" hidden="false" customHeight="false" outlineLevel="0" collapsed="false">
      <c r="A63" s="26" t="n">
        <v>60</v>
      </c>
      <c r="B63" s="47" t="n">
        <f aca="false">WORKDAY(B62,1,Feriados)</f>
        <v>46387</v>
      </c>
    </row>
    <row r="64" customFormat="false" ht="15" hidden="false" customHeight="false" outlineLevel="0" collapsed="false">
      <c r="A64" s="26" t="n">
        <v>61</v>
      </c>
      <c r="B64" s="47" t="n">
        <f aca="false">WORKDAY(B63,1,Feriados)</f>
        <v>46391</v>
      </c>
    </row>
    <row r="65" customFormat="false" ht="15" hidden="false" customHeight="false" outlineLevel="0" collapsed="false">
      <c r="A65" s="26" t="n">
        <v>62</v>
      </c>
      <c r="B65" s="47" t="n">
        <f aca="false">WORKDAY(B64,1,Feriados)</f>
        <v>46392</v>
      </c>
    </row>
    <row r="66" customFormat="false" ht="15" hidden="false" customHeight="false" outlineLevel="0" collapsed="false">
      <c r="A66" s="26" t="n">
        <v>63</v>
      </c>
      <c r="B66" s="47" t="n">
        <f aca="false">WORKDAY(B65,1,Feriados)</f>
        <v>46393</v>
      </c>
    </row>
    <row r="67" customFormat="false" ht="15" hidden="false" customHeight="false" outlineLevel="0" collapsed="false">
      <c r="A67" s="26" t="n">
        <v>64</v>
      </c>
      <c r="B67" s="47" t="n">
        <f aca="false">WORKDAY(B66,1,Feriados)</f>
        <v>46394</v>
      </c>
    </row>
    <row r="68" customFormat="false" ht="15" hidden="false" customHeight="false" outlineLevel="0" collapsed="false">
      <c r="A68" s="26" t="n">
        <v>65</v>
      </c>
      <c r="B68" s="47" t="n">
        <f aca="false">WORKDAY(B67,1,Feriados)</f>
        <v>46395</v>
      </c>
    </row>
    <row r="69" customFormat="false" ht="15" hidden="false" customHeight="false" outlineLevel="0" collapsed="false">
      <c r="A69" s="26" t="n">
        <v>66</v>
      </c>
      <c r="B69" s="47" t="n">
        <f aca="false">WORKDAY(B68,1,Feriados)</f>
        <v>46398</v>
      </c>
    </row>
    <row r="70" customFormat="false" ht="15" hidden="false" customHeight="false" outlineLevel="0" collapsed="false">
      <c r="A70" s="26" t="n">
        <v>67</v>
      </c>
      <c r="B70" s="47" t="n">
        <f aca="false">WORKDAY(B69,1,Feriados)</f>
        <v>46399</v>
      </c>
    </row>
    <row r="71" customFormat="false" ht="15" hidden="false" customHeight="false" outlineLevel="0" collapsed="false">
      <c r="A71" s="26" t="n">
        <v>68</v>
      </c>
      <c r="B71" s="47" t="n">
        <f aca="false">WORKDAY(B70,1,Feriados)</f>
        <v>46400</v>
      </c>
    </row>
    <row r="72" customFormat="false" ht="15" hidden="false" customHeight="false" outlineLevel="0" collapsed="false">
      <c r="A72" s="26" t="n">
        <v>69</v>
      </c>
      <c r="B72" s="47" t="n">
        <f aca="false">WORKDAY(B71,1,Feriados)</f>
        <v>46401</v>
      </c>
    </row>
    <row r="73" customFormat="false" ht="15" hidden="false" customHeight="false" outlineLevel="0" collapsed="false">
      <c r="A73" s="26" t="n">
        <v>70</v>
      </c>
      <c r="B73" s="47" t="n">
        <f aca="false">WORKDAY(B72,1,Feriados)</f>
        <v>46402</v>
      </c>
    </row>
    <row r="74" customFormat="false" ht="15" hidden="false" customHeight="false" outlineLevel="0" collapsed="false">
      <c r="A74" s="26" t="n">
        <v>71</v>
      </c>
      <c r="B74" s="47" t="n">
        <f aca="false">WORKDAY(B73,1,Feriados)</f>
        <v>46405</v>
      </c>
    </row>
    <row r="75" customFormat="false" ht="15" hidden="false" customHeight="false" outlineLevel="0" collapsed="false">
      <c r="A75" s="26" t="n">
        <v>72</v>
      </c>
      <c r="B75" s="47" t="n">
        <f aca="false">WORKDAY(B74,1,Feriados)</f>
        <v>46406</v>
      </c>
    </row>
    <row r="76" customFormat="false" ht="15" hidden="false" customHeight="false" outlineLevel="0" collapsed="false">
      <c r="A76" s="26" t="n">
        <v>73</v>
      </c>
      <c r="B76" s="47" t="n">
        <f aca="false">WORKDAY(B75,1,Feriados)</f>
        <v>46407</v>
      </c>
    </row>
    <row r="77" customFormat="false" ht="15" hidden="false" customHeight="false" outlineLevel="0" collapsed="false">
      <c r="A77" s="26" t="n">
        <v>74</v>
      </c>
      <c r="B77" s="47" t="n">
        <f aca="false">WORKDAY(B76,1,Feriados)</f>
        <v>46408</v>
      </c>
    </row>
    <row r="78" customFormat="false" ht="15" hidden="false" customHeight="false" outlineLevel="0" collapsed="false">
      <c r="A78" s="26" t="n">
        <v>75</v>
      </c>
      <c r="B78" s="47" t="n">
        <f aca="false">WORKDAY(B77,1,Feriados)</f>
        <v>46409</v>
      </c>
    </row>
    <row r="79" customFormat="false" ht="15" hidden="false" customHeight="false" outlineLevel="0" collapsed="false">
      <c r="A79" s="26" t="n">
        <v>76</v>
      </c>
      <c r="B79" s="47" t="n">
        <f aca="false">WORKDAY(B78,1,Feriados)</f>
        <v>46412</v>
      </c>
    </row>
    <row r="80" customFormat="false" ht="15" hidden="false" customHeight="false" outlineLevel="0" collapsed="false">
      <c r="A80" s="26" t="n">
        <v>77</v>
      </c>
      <c r="B80" s="47" t="n">
        <f aca="false">WORKDAY(B79,1,Feriados)</f>
        <v>46413</v>
      </c>
    </row>
    <row r="81" customFormat="false" ht="15" hidden="false" customHeight="false" outlineLevel="0" collapsed="false">
      <c r="A81" s="26" t="n">
        <v>78</v>
      </c>
      <c r="B81" s="47" t="n">
        <f aca="false">WORKDAY(B80,1,Feriados)</f>
        <v>46414</v>
      </c>
    </row>
    <row r="82" customFormat="false" ht="15" hidden="false" customHeight="false" outlineLevel="0" collapsed="false">
      <c r="A82" s="26" t="n">
        <v>79</v>
      </c>
      <c r="B82" s="47" t="n">
        <f aca="false">WORKDAY(B81,1,Feriados)</f>
        <v>46415</v>
      </c>
    </row>
    <row r="83" customFormat="false" ht="15" hidden="false" customHeight="false" outlineLevel="0" collapsed="false">
      <c r="A83" s="26" t="n">
        <v>80</v>
      </c>
      <c r="B83" s="47" t="n">
        <f aca="false">WORKDAY(B82,1,Feriados)</f>
        <v>46416</v>
      </c>
    </row>
    <row r="84" customFormat="false" ht="15" hidden="false" customHeight="false" outlineLevel="0" collapsed="false">
      <c r="A84" s="26" t="n">
        <v>81</v>
      </c>
      <c r="B84" s="47" t="n">
        <f aca="false">WORKDAY(B83,1,Feriados)</f>
        <v>46419</v>
      </c>
    </row>
    <row r="85" customFormat="false" ht="15" hidden="false" customHeight="false" outlineLevel="0" collapsed="false">
      <c r="A85" s="26" t="n">
        <v>82</v>
      </c>
      <c r="B85" s="47" t="n">
        <f aca="false">WORKDAY(B84,1,Feriados)</f>
        <v>46420</v>
      </c>
    </row>
    <row r="86" customFormat="false" ht="15" hidden="false" customHeight="false" outlineLevel="0" collapsed="false">
      <c r="A86" s="26" t="n">
        <v>83</v>
      </c>
      <c r="B86" s="47" t="n">
        <f aca="false">WORKDAY(B85,1,Feriados)</f>
        <v>46421</v>
      </c>
    </row>
    <row r="87" customFormat="false" ht="15" hidden="false" customHeight="false" outlineLevel="0" collapsed="false">
      <c r="A87" s="26" t="n">
        <v>84</v>
      </c>
      <c r="B87" s="47" t="n">
        <f aca="false">WORKDAY(B86,1,Feriados)</f>
        <v>46422</v>
      </c>
    </row>
    <row r="88" customFormat="false" ht="15" hidden="false" customHeight="false" outlineLevel="0" collapsed="false">
      <c r="A88" s="26" t="n">
        <v>85</v>
      </c>
      <c r="B88" s="47" t="n">
        <f aca="false">WORKDAY(B87,1,Feriados)</f>
        <v>46423</v>
      </c>
    </row>
    <row r="89" customFormat="false" ht="15" hidden="false" customHeight="false" outlineLevel="0" collapsed="false">
      <c r="A89" s="26" t="n">
        <v>86</v>
      </c>
      <c r="B89" s="47" t="n">
        <f aca="false">WORKDAY(B88,1,Feriados)</f>
        <v>46428</v>
      </c>
    </row>
    <row r="90" customFormat="false" ht="15" hidden="false" customHeight="false" outlineLevel="0" collapsed="false">
      <c r="A90" s="26" t="n">
        <v>87</v>
      </c>
      <c r="B90" s="47" t="n">
        <f aca="false">WORKDAY(B89,1,Feriados)</f>
        <v>46429</v>
      </c>
    </row>
    <row r="91" customFormat="false" ht="15" hidden="false" customHeight="false" outlineLevel="0" collapsed="false">
      <c r="A91" s="26" t="n">
        <v>88</v>
      </c>
      <c r="B91" s="47" t="n">
        <f aca="false">WORKDAY(B90,1,Feriados)</f>
        <v>46430</v>
      </c>
    </row>
    <row r="92" customFormat="false" ht="15" hidden="false" customHeight="false" outlineLevel="0" collapsed="false">
      <c r="A92" s="26" t="n">
        <v>89</v>
      </c>
      <c r="B92" s="47" t="n">
        <f aca="false">WORKDAY(B91,1,Feriados)</f>
        <v>46433</v>
      </c>
    </row>
    <row r="93" customFormat="false" ht="15" hidden="false" customHeight="false" outlineLevel="0" collapsed="false">
      <c r="A93" s="26" t="n">
        <v>90</v>
      </c>
      <c r="B93" s="47" t="n">
        <f aca="false">WORKDAY(B92,1,Feriados)</f>
        <v>46434</v>
      </c>
    </row>
    <row r="94" customFormat="false" ht="15" hidden="false" customHeight="false" outlineLevel="0" collapsed="false">
      <c r="A94" s="26" t="n">
        <v>91</v>
      </c>
      <c r="B94" s="47" t="n">
        <f aca="false">WORKDAY(B93,1,Feriados)</f>
        <v>46435</v>
      </c>
    </row>
    <row r="95" customFormat="false" ht="15" hidden="false" customHeight="false" outlineLevel="0" collapsed="false">
      <c r="A95" s="26" t="n">
        <v>92</v>
      </c>
      <c r="B95" s="47" t="n">
        <f aca="false">WORKDAY(B94,1,Feriados)</f>
        <v>46436</v>
      </c>
    </row>
    <row r="96" customFormat="false" ht="15" hidden="false" customHeight="false" outlineLevel="0" collapsed="false">
      <c r="A96" s="26" t="n">
        <v>93</v>
      </c>
      <c r="B96" s="47" t="n">
        <f aca="false">WORKDAY(B95,1,Feriados)</f>
        <v>46437</v>
      </c>
    </row>
    <row r="97" customFormat="false" ht="15" hidden="false" customHeight="false" outlineLevel="0" collapsed="false">
      <c r="A97" s="26" t="n">
        <v>94</v>
      </c>
      <c r="B97" s="47" t="n">
        <f aca="false">WORKDAY(B96,1,Feriados)</f>
        <v>46440</v>
      </c>
    </row>
    <row r="98" customFormat="false" ht="15" hidden="false" customHeight="false" outlineLevel="0" collapsed="false">
      <c r="A98" s="26" t="n">
        <v>95</v>
      </c>
      <c r="B98" s="47" t="n">
        <f aca="false">WORKDAY(B97,1,Feriados)</f>
        <v>46441</v>
      </c>
    </row>
    <row r="99" customFormat="false" ht="15" hidden="false" customHeight="false" outlineLevel="0" collapsed="false">
      <c r="A99" s="26" t="n">
        <v>96</v>
      </c>
      <c r="B99" s="47" t="n">
        <f aca="false">WORKDAY(B98,1,Feriados)</f>
        <v>46442</v>
      </c>
    </row>
    <row r="100" customFormat="false" ht="15" hidden="false" customHeight="false" outlineLevel="0" collapsed="false">
      <c r="A100" s="26" t="n">
        <v>97</v>
      </c>
      <c r="B100" s="47" t="n">
        <f aca="false">WORKDAY(B99,1,Feriados)</f>
        <v>46443</v>
      </c>
    </row>
    <row r="101" customFormat="false" ht="15" hidden="false" customHeight="false" outlineLevel="0" collapsed="false">
      <c r="A101" s="26" t="n">
        <v>98</v>
      </c>
      <c r="B101" s="47" t="n">
        <f aca="false">WORKDAY(B100,1,Feriados)</f>
        <v>46444</v>
      </c>
    </row>
    <row r="102" customFormat="false" ht="15" hidden="false" customHeight="false" outlineLevel="0" collapsed="false">
      <c r="A102" s="26" t="n">
        <v>99</v>
      </c>
      <c r="B102" s="47" t="n">
        <f aca="false">WORKDAY(B101,1,Feriados)</f>
        <v>46447</v>
      </c>
    </row>
    <row r="103" customFormat="false" ht="15" hidden="false" customHeight="false" outlineLevel="0" collapsed="false">
      <c r="A103" s="26" t="n">
        <v>100</v>
      </c>
      <c r="B103" s="47" t="n">
        <f aca="false">WORKDAY(B102,1,Feriados)</f>
        <v>46448</v>
      </c>
    </row>
    <row r="104" customFormat="false" ht="15" hidden="false" customHeight="false" outlineLevel="0" collapsed="false">
      <c r="A104" s="26" t="n">
        <v>101</v>
      </c>
      <c r="B104" s="47" t="n">
        <f aca="false">WORKDAY(B103,1,Feriados)</f>
        <v>46449</v>
      </c>
    </row>
    <row r="105" customFormat="false" ht="15" hidden="false" customHeight="false" outlineLevel="0" collapsed="false">
      <c r="A105" s="26" t="n">
        <v>102</v>
      </c>
      <c r="B105" s="47" t="n">
        <f aca="false">WORKDAY(B104,1,Feriados)</f>
        <v>46450</v>
      </c>
    </row>
    <row r="106" customFormat="false" ht="15" hidden="false" customHeight="false" outlineLevel="0" collapsed="false">
      <c r="A106" s="26" t="n">
        <v>103</v>
      </c>
      <c r="B106" s="47" t="n">
        <f aca="false">WORKDAY(B105,1,Feriados)</f>
        <v>46451</v>
      </c>
    </row>
    <row r="107" customFormat="false" ht="15" hidden="false" customHeight="false" outlineLevel="0" collapsed="false">
      <c r="A107" s="26" t="n">
        <v>104</v>
      </c>
      <c r="B107" s="47" t="n">
        <f aca="false">WORKDAY(B106,1,Feriados)</f>
        <v>46454</v>
      </c>
    </row>
    <row r="108" customFormat="false" ht="15" hidden="false" customHeight="false" outlineLevel="0" collapsed="false">
      <c r="A108" s="26" t="n">
        <v>105</v>
      </c>
      <c r="B108" s="47" t="n">
        <f aca="false">WORKDAY(B107,1,Feriados)</f>
        <v>46455</v>
      </c>
    </row>
    <row r="109" customFormat="false" ht="15" hidden="false" customHeight="false" outlineLevel="0" collapsed="false">
      <c r="A109" s="26" t="n">
        <v>106</v>
      </c>
      <c r="B109" s="47" t="n">
        <f aca="false">WORKDAY(B108,1,Feriados)</f>
        <v>46456</v>
      </c>
    </row>
    <row r="110" customFormat="false" ht="15" hidden="false" customHeight="false" outlineLevel="0" collapsed="false">
      <c r="A110" s="26" t="n">
        <v>107</v>
      </c>
      <c r="B110" s="47" t="n">
        <f aca="false">WORKDAY(B109,1,Feriados)</f>
        <v>46457</v>
      </c>
    </row>
    <row r="111" customFormat="false" ht="15" hidden="false" customHeight="false" outlineLevel="0" collapsed="false">
      <c r="A111" s="26" t="n">
        <v>108</v>
      </c>
      <c r="B111" s="47" t="n">
        <f aca="false">WORKDAY(B110,1,Feriados)</f>
        <v>46458</v>
      </c>
    </row>
    <row r="112" customFormat="false" ht="15" hidden="false" customHeight="false" outlineLevel="0" collapsed="false">
      <c r="A112" s="26" t="n">
        <v>109</v>
      </c>
      <c r="B112" s="47" t="n">
        <f aca="false">WORKDAY(B111,1,Feriados)</f>
        <v>46461</v>
      </c>
    </row>
    <row r="113" customFormat="false" ht="15" hidden="false" customHeight="false" outlineLevel="0" collapsed="false">
      <c r="A113" s="26" t="n">
        <v>110</v>
      </c>
      <c r="B113" s="47" t="n">
        <f aca="false">WORKDAY(B112,1,Feriados)</f>
        <v>46462</v>
      </c>
    </row>
    <row r="114" customFormat="false" ht="15" hidden="false" customHeight="false" outlineLevel="0" collapsed="false">
      <c r="A114" s="26" t="n">
        <v>111</v>
      </c>
      <c r="B114" s="47" t="n">
        <f aca="false">WORKDAY(B113,1,Feriados)</f>
        <v>46463</v>
      </c>
    </row>
    <row r="115" customFormat="false" ht="15" hidden="false" customHeight="false" outlineLevel="0" collapsed="false">
      <c r="A115" s="26" t="n">
        <v>112</v>
      </c>
      <c r="B115" s="47" t="n">
        <f aca="false">WORKDAY(B114,1,Feriados)</f>
        <v>46464</v>
      </c>
    </row>
    <row r="116" customFormat="false" ht="15" hidden="false" customHeight="false" outlineLevel="0" collapsed="false">
      <c r="A116" s="26" t="n">
        <v>113</v>
      </c>
      <c r="B116" s="47" t="n">
        <f aca="false">WORKDAY(B115,1,Feriados)</f>
        <v>46465</v>
      </c>
    </row>
    <row r="117" customFormat="false" ht="15" hidden="false" customHeight="false" outlineLevel="0" collapsed="false">
      <c r="A117" s="26" t="n">
        <v>114</v>
      </c>
      <c r="B117" s="47" t="n">
        <f aca="false">WORKDAY(B116,1,Feriados)</f>
        <v>46468</v>
      </c>
    </row>
    <row r="118" customFormat="false" ht="15" hidden="false" customHeight="false" outlineLevel="0" collapsed="false">
      <c r="A118" s="26" t="n">
        <v>115</v>
      </c>
      <c r="B118" s="47" t="n">
        <f aca="false">WORKDAY(B117,1,Feriados)</f>
        <v>46469</v>
      </c>
    </row>
    <row r="119" customFormat="false" ht="15" hidden="false" customHeight="false" outlineLevel="0" collapsed="false">
      <c r="A119" s="26" t="n">
        <v>116</v>
      </c>
      <c r="B119" s="47" t="n">
        <f aca="false">WORKDAY(B118,1,Feriados)</f>
        <v>46475</v>
      </c>
    </row>
    <row r="120" customFormat="false" ht="15" hidden="false" customHeight="false" outlineLevel="0" collapsed="false">
      <c r="A120" s="26" t="n">
        <v>117</v>
      </c>
      <c r="B120" s="47" t="n">
        <f aca="false">WORKDAY(B119,1,Feriados)</f>
        <v>46476</v>
      </c>
    </row>
    <row r="121" customFormat="false" ht="15" hidden="false" customHeight="false" outlineLevel="0" collapsed="false">
      <c r="A121" s="26" t="n">
        <v>118</v>
      </c>
      <c r="B121" s="47" t="n">
        <f aca="false">WORKDAY(B120,1,Feriados)</f>
        <v>46477</v>
      </c>
    </row>
    <row r="122" customFormat="false" ht="15" hidden="false" customHeight="false" outlineLevel="0" collapsed="false">
      <c r="A122" s="26" t="n">
        <v>119</v>
      </c>
      <c r="B122" s="47" t="n">
        <f aca="false">WORKDAY(B121,1,Feriados)</f>
        <v>46478</v>
      </c>
    </row>
    <row r="123" customFormat="false" ht="15" hidden="false" customHeight="false" outlineLevel="0" collapsed="false">
      <c r="A123" s="26" t="n">
        <v>120</v>
      </c>
      <c r="B123" s="47" t="n">
        <f aca="false">WORKDAY(B122,1,Feriados)</f>
        <v>46482</v>
      </c>
    </row>
    <row r="124" customFormat="false" ht="15" hidden="false" customHeight="false" outlineLevel="0" collapsed="false">
      <c r="A124" s="26" t="n">
        <v>121</v>
      </c>
      <c r="B124" s="47" t="n">
        <f aca="false">WORKDAY(B123,1,Feriados)</f>
        <v>46483</v>
      </c>
    </row>
    <row r="125" customFormat="false" ht="15" hidden="false" customHeight="false" outlineLevel="0" collapsed="false">
      <c r="A125" s="26" t="n">
        <v>122</v>
      </c>
      <c r="B125" s="47" t="n">
        <f aca="false">WORKDAY(B124,1,Feriados)</f>
        <v>46484</v>
      </c>
    </row>
    <row r="126" customFormat="false" ht="15" hidden="false" customHeight="false" outlineLevel="0" collapsed="false">
      <c r="A126" s="26" t="n">
        <v>123</v>
      </c>
      <c r="B126" s="47" t="n">
        <f aca="false">WORKDAY(B125,1,Feriados)</f>
        <v>46485</v>
      </c>
    </row>
    <row r="127" customFormat="false" ht="15" hidden="false" customHeight="false" outlineLevel="0" collapsed="false">
      <c r="A127" s="26" t="n">
        <v>124</v>
      </c>
      <c r="B127" s="47" t="n">
        <f aca="false">WORKDAY(B126,1,Feriados)</f>
        <v>46486</v>
      </c>
    </row>
    <row r="128" customFormat="false" ht="15" hidden="false" customHeight="false" outlineLevel="0" collapsed="false">
      <c r="A128" s="26" t="n">
        <v>125</v>
      </c>
      <c r="B128" s="47" t="n">
        <f aca="false">WORKDAY(B127,1,Feriados)</f>
        <v>46489</v>
      </c>
    </row>
    <row r="129" customFormat="false" ht="15" hidden="false" customHeight="false" outlineLevel="0" collapsed="false">
      <c r="A129" s="26" t="n">
        <v>126</v>
      </c>
      <c r="B129" s="47" t="n">
        <f aca="false">WORKDAY(B128,1,Feriados)</f>
        <v>46490</v>
      </c>
    </row>
    <row r="130" customFormat="false" ht="15" hidden="false" customHeight="false" outlineLevel="0" collapsed="false">
      <c r="A130" s="26" t="n">
        <v>127</v>
      </c>
      <c r="B130" s="47" t="n">
        <f aca="false">WORKDAY(B129,1,Feriados)</f>
        <v>46491</v>
      </c>
    </row>
    <row r="131" customFormat="false" ht="15" hidden="false" customHeight="false" outlineLevel="0" collapsed="false">
      <c r="A131" s="26" t="n">
        <v>128</v>
      </c>
      <c r="B131" s="47" t="n">
        <f aca="false">WORKDAY(B130,1,Feriados)</f>
        <v>46492</v>
      </c>
    </row>
    <row r="132" customFormat="false" ht="15" hidden="false" customHeight="false" outlineLevel="0" collapsed="false">
      <c r="A132" s="26" t="n">
        <v>129</v>
      </c>
      <c r="B132" s="47" t="n">
        <f aca="false">WORKDAY(B131,1,Feriados)</f>
        <v>46493</v>
      </c>
    </row>
    <row r="133" customFormat="false" ht="15" hidden="false" customHeight="false" outlineLevel="0" collapsed="false">
      <c r="A133" s="26" t="n">
        <v>130</v>
      </c>
      <c r="B133" s="47" t="n">
        <f aca="false">WORKDAY(B132,1,Feriados)</f>
        <v>46496</v>
      </c>
    </row>
    <row r="134" customFormat="false" ht="15" hidden="false" customHeight="false" outlineLevel="0" collapsed="false">
      <c r="A134" s="26" t="n">
        <v>131</v>
      </c>
      <c r="B134" s="47" t="n">
        <f aca="false">WORKDAY(B133,1,Feriados)</f>
        <v>46497</v>
      </c>
    </row>
    <row r="135" customFormat="false" ht="15" hidden="false" customHeight="false" outlineLevel="0" collapsed="false">
      <c r="A135" s="26" t="n">
        <v>132</v>
      </c>
      <c r="B135" s="47" t="n">
        <f aca="false">WORKDAY(B134,1,Feriados)</f>
        <v>46498</v>
      </c>
    </row>
    <row r="136" customFormat="false" ht="15" hidden="false" customHeight="false" outlineLevel="0" collapsed="false">
      <c r="A136" s="26" t="n">
        <v>133</v>
      </c>
      <c r="B136" s="47" t="n">
        <f aca="false">WORKDAY(B135,1,Feriados)</f>
        <v>46499</v>
      </c>
    </row>
    <row r="137" customFormat="false" ht="15" hidden="false" customHeight="false" outlineLevel="0" collapsed="false">
      <c r="A137" s="26" t="n">
        <v>134</v>
      </c>
      <c r="B137" s="47" t="n">
        <f aca="false">WORKDAY(B136,1,Feriados)</f>
        <v>46500</v>
      </c>
    </row>
    <row r="138" customFormat="false" ht="15" hidden="false" customHeight="false" outlineLevel="0" collapsed="false">
      <c r="A138" s="26" t="n">
        <v>135</v>
      </c>
      <c r="B138" s="47" t="n">
        <f aca="false">WORKDAY(B137,1,Feriados)</f>
        <v>46503</v>
      </c>
    </row>
    <row r="139" customFormat="false" ht="15" hidden="false" customHeight="false" outlineLevel="0" collapsed="false">
      <c r="A139" s="26" t="n">
        <v>136</v>
      </c>
      <c r="B139" s="47" t="n">
        <f aca="false">WORKDAY(B138,1,Feriados)</f>
        <v>46504</v>
      </c>
    </row>
    <row r="140" customFormat="false" ht="15" hidden="false" customHeight="false" outlineLevel="0" collapsed="false">
      <c r="A140" s="26" t="n">
        <v>137</v>
      </c>
      <c r="B140" s="47" t="n">
        <f aca="false">WORKDAY(B139,1,Feriados)</f>
        <v>46505</v>
      </c>
    </row>
    <row r="141" customFormat="false" ht="15" hidden="false" customHeight="false" outlineLevel="0" collapsed="false">
      <c r="A141" s="26" t="n">
        <v>138</v>
      </c>
      <c r="B141" s="47" t="n">
        <f aca="false">WORKDAY(B140,1,Feriados)</f>
        <v>46506</v>
      </c>
    </row>
    <row r="142" customFormat="false" ht="15" hidden="false" customHeight="false" outlineLevel="0" collapsed="false">
      <c r="A142" s="26" t="n">
        <v>139</v>
      </c>
      <c r="B142" s="47" t="n">
        <f aca="false">WORKDAY(B141,1,Feriados)</f>
        <v>46507</v>
      </c>
    </row>
    <row r="143" customFormat="false" ht="15" hidden="false" customHeight="false" outlineLevel="0" collapsed="false">
      <c r="A143" s="26" t="n">
        <v>140</v>
      </c>
      <c r="B143" s="47" t="n">
        <f aca="false">WORKDAY(B142,1,Feriados)</f>
        <v>46510</v>
      </c>
    </row>
    <row r="144" customFormat="false" ht="15" hidden="false" customHeight="false" outlineLevel="0" collapsed="false">
      <c r="A144" s="26" t="n">
        <v>141</v>
      </c>
      <c r="B144" s="47" t="n">
        <f aca="false">WORKDAY(B143,1,Feriados)</f>
        <v>46511</v>
      </c>
    </row>
    <row r="145" customFormat="false" ht="15" hidden="false" customHeight="false" outlineLevel="0" collapsed="false">
      <c r="A145" s="26" t="n">
        <v>142</v>
      </c>
      <c r="B145" s="47" t="n">
        <f aca="false">WORKDAY(B144,1,Feriados)</f>
        <v>46512</v>
      </c>
    </row>
    <row r="146" customFormat="false" ht="15" hidden="false" customHeight="false" outlineLevel="0" collapsed="false">
      <c r="A146" s="26" t="n">
        <v>143</v>
      </c>
      <c r="B146" s="47" t="n">
        <f aca="false">WORKDAY(B145,1,Feriados)</f>
        <v>46513</v>
      </c>
    </row>
    <row r="147" customFormat="false" ht="15" hidden="false" customHeight="false" outlineLevel="0" collapsed="false">
      <c r="A147" s="26" t="n">
        <v>144</v>
      </c>
      <c r="B147" s="47" t="n">
        <f aca="false">WORKDAY(B146,1,Feriados)</f>
        <v>46514</v>
      </c>
    </row>
    <row r="148" customFormat="false" ht="15" hidden="false" customHeight="false" outlineLevel="0" collapsed="false">
      <c r="A148" s="26" t="n">
        <v>145</v>
      </c>
      <c r="B148" s="47" t="n">
        <f aca="false">WORKDAY(B147,1,Feriados)</f>
        <v>46517</v>
      </c>
    </row>
    <row r="149" customFormat="false" ht="15" hidden="false" customHeight="false" outlineLevel="0" collapsed="false">
      <c r="A149" s="26" t="n">
        <v>146</v>
      </c>
      <c r="B149" s="47" t="n">
        <f aca="false">WORKDAY(B148,1,Feriados)</f>
        <v>46518</v>
      </c>
    </row>
    <row r="150" customFormat="false" ht="15" hidden="false" customHeight="false" outlineLevel="0" collapsed="false">
      <c r="A150" s="26" t="n">
        <v>147</v>
      </c>
      <c r="B150" s="47" t="n">
        <f aca="false">WORKDAY(B149,1,Feriados)</f>
        <v>46519</v>
      </c>
    </row>
    <row r="151" customFormat="false" ht="15" hidden="false" customHeight="false" outlineLevel="0" collapsed="false">
      <c r="A151" s="26" t="n">
        <v>148</v>
      </c>
      <c r="B151" s="47" t="n">
        <f aca="false">WORKDAY(B150,1,Feriados)</f>
        <v>46520</v>
      </c>
    </row>
    <row r="152" customFormat="false" ht="15" hidden="false" customHeight="false" outlineLevel="0" collapsed="false">
      <c r="A152" s="26" t="n">
        <v>149</v>
      </c>
      <c r="B152" s="47" t="n">
        <f aca="false">WORKDAY(B151,1,Feriados)</f>
        <v>46521</v>
      </c>
    </row>
    <row r="153" customFormat="false" ht="15" hidden="false" customHeight="false" outlineLevel="0" collapsed="false">
      <c r="A153" s="26" t="n">
        <v>150</v>
      </c>
      <c r="B153" s="47" t="n">
        <f aca="false">WORKDAY(B152,1,Feriados)</f>
        <v>46524</v>
      </c>
    </row>
    <row r="154" customFormat="false" ht="15" hidden="false" customHeight="false" outlineLevel="0" collapsed="false">
      <c r="A154" s="26" t="n">
        <v>151</v>
      </c>
      <c r="B154" s="47" t="n">
        <f aca="false">WORKDAY(B153,1,Feriados)</f>
        <v>46525</v>
      </c>
    </row>
    <row r="155" customFormat="false" ht="15" hidden="false" customHeight="false" outlineLevel="0" collapsed="false">
      <c r="A155" s="26" t="n">
        <v>152</v>
      </c>
      <c r="B155" s="47" t="n">
        <f aca="false">WORKDAY(B154,1,Feriados)</f>
        <v>46526</v>
      </c>
    </row>
    <row r="156" customFormat="false" ht="15" hidden="false" customHeight="false" outlineLevel="0" collapsed="false">
      <c r="A156" s="26" t="n">
        <v>153</v>
      </c>
      <c r="B156" s="47" t="n">
        <f aca="false">WORKDAY(B155,1,Feriados)</f>
        <v>46527</v>
      </c>
    </row>
    <row r="157" customFormat="false" ht="15" hidden="false" customHeight="false" outlineLevel="0" collapsed="false">
      <c r="A157" s="26" t="n">
        <v>154</v>
      </c>
      <c r="B157" s="47" t="n">
        <f aca="false">WORKDAY(B156,1,Feriados)</f>
        <v>46528</v>
      </c>
    </row>
    <row r="158" customFormat="false" ht="15" hidden="false" customHeight="false" outlineLevel="0" collapsed="false">
      <c r="A158" s="26" t="n">
        <v>155</v>
      </c>
      <c r="B158" s="47" t="n">
        <f aca="false">WORKDAY(B157,1,Feriados)</f>
        <v>46531</v>
      </c>
    </row>
    <row r="159" customFormat="false" ht="15" hidden="false" customHeight="false" outlineLevel="0" collapsed="false">
      <c r="A159" s="26" t="n">
        <v>156</v>
      </c>
      <c r="B159" s="47" t="n">
        <f aca="false">WORKDAY(B158,1,Feriados)</f>
        <v>46532</v>
      </c>
    </row>
    <row r="160" customFormat="false" ht="15" hidden="false" customHeight="false" outlineLevel="0" collapsed="false">
      <c r="A160" s="26" t="n">
        <v>157</v>
      </c>
      <c r="B160" s="47" t="n">
        <f aca="false">WORKDAY(B159,1,Feriados)</f>
        <v>46533</v>
      </c>
    </row>
    <row r="161" customFormat="false" ht="15" hidden="false" customHeight="false" outlineLevel="0" collapsed="false">
      <c r="A161" s="26" t="n">
        <v>158</v>
      </c>
      <c r="B161" s="47" t="n">
        <f aca="false">WORKDAY(B160,1,Feriados)</f>
        <v>46534</v>
      </c>
    </row>
    <row r="162" customFormat="false" ht="15" hidden="false" customHeight="false" outlineLevel="0" collapsed="false">
      <c r="A162" s="26" t="n">
        <v>159</v>
      </c>
      <c r="B162" s="47" t="n">
        <f aca="false">WORKDAY(B161,1,Feriados)</f>
        <v>46535</v>
      </c>
    </row>
    <row r="163" customFormat="false" ht="15" hidden="false" customHeight="false" outlineLevel="0" collapsed="false">
      <c r="A163" s="26" t="n">
        <v>160</v>
      </c>
      <c r="B163" s="47" t="n">
        <f aca="false">WORKDAY(B162,1,Feriados)</f>
        <v>46538</v>
      </c>
    </row>
    <row r="164" customFormat="false" ht="15" hidden="false" customHeight="false" outlineLevel="0" collapsed="false">
      <c r="A164" s="26" t="n">
        <v>161</v>
      </c>
      <c r="B164" s="47" t="n">
        <f aca="false">WORKDAY(B163,1,Feriados)</f>
        <v>46539</v>
      </c>
    </row>
    <row r="165" customFormat="false" ht="15" hidden="false" customHeight="false" outlineLevel="0" collapsed="false">
      <c r="A165" s="26" t="n">
        <v>162</v>
      </c>
      <c r="B165" s="47" t="n">
        <f aca="false">WORKDAY(B164,1,Feriados)</f>
        <v>46540</v>
      </c>
    </row>
    <row r="166" customFormat="false" ht="15" hidden="false" customHeight="false" outlineLevel="0" collapsed="false">
      <c r="A166" s="26" t="n">
        <v>163</v>
      </c>
      <c r="B166" s="47" t="n">
        <f aca="false">WORKDAY(B165,1,Feriados)</f>
        <v>46541</v>
      </c>
    </row>
    <row r="167" customFormat="false" ht="15" hidden="false" customHeight="false" outlineLevel="0" collapsed="false">
      <c r="A167" s="26" t="n">
        <v>164</v>
      </c>
      <c r="B167" s="47" t="n">
        <f aca="false">WORKDAY(B166,1,Feriados)</f>
        <v>46542</v>
      </c>
    </row>
    <row r="168" customFormat="false" ht="15" hidden="false" customHeight="false" outlineLevel="0" collapsed="false">
      <c r="A168" s="26" t="n">
        <v>165</v>
      </c>
      <c r="B168" s="47" t="n">
        <f aca="false">WORKDAY(B167,1,Feriados)</f>
        <v>46545</v>
      </c>
    </row>
    <row r="169" customFormat="false" ht="15" hidden="false" customHeight="false" outlineLevel="0" collapsed="false">
      <c r="A169" s="26" t="n">
        <v>166</v>
      </c>
      <c r="B169" s="47" t="n">
        <f aca="false">WORKDAY(B168,1,Feriados)</f>
        <v>46546</v>
      </c>
    </row>
    <row r="170" customFormat="false" ht="15" hidden="false" customHeight="false" outlineLevel="0" collapsed="false">
      <c r="A170" s="26" t="n">
        <v>167</v>
      </c>
      <c r="B170" s="47" t="n">
        <f aca="false">WORKDAY(B169,1,Feriados)</f>
        <v>46547</v>
      </c>
    </row>
    <row r="171" customFormat="false" ht="15" hidden="false" customHeight="false" outlineLevel="0" collapsed="false">
      <c r="A171" s="26" t="n">
        <v>168</v>
      </c>
      <c r="B171" s="47" t="n">
        <f aca="false">WORKDAY(B170,1,Feriados)</f>
        <v>46548</v>
      </c>
    </row>
    <row r="172" customFormat="false" ht="15" hidden="false" customHeight="false" outlineLevel="0" collapsed="false">
      <c r="A172" s="26" t="n">
        <v>169</v>
      </c>
      <c r="B172" s="47" t="n">
        <f aca="false">WORKDAY(B171,1,Feriados)</f>
        <v>46549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2026-10-13T22:36:09Z</dcterms:created>
  <dc:creator>openpyxl</dc:creator>
  <dc:description/>
  <dc:language>en-US</dc:language>
  <cp:lastModifiedBy/>
  <dcterms:modified xsi:type="dcterms:W3CDTF">2026-10-13T22:36:09Z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