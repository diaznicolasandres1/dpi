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Hacer o comprar" sheetId="2" state="visible" r:id="rId4"/>
    <sheet name="Contratos" sheetId="3" state="visible" r:id="rId5"/>
    <sheet name="SOW" sheetId="4" state="visible" r:id="rId6"/>
    <sheet name="RACIS" sheetId="5" state="visible" r:id="rId7"/>
    <sheet name="Roles" sheetId="6" state="visible" r:id="rId8"/>
    <sheet name="Interesados" sheetId="7" state="visible" r:id="rId9"/>
    <sheet name="Comunicaciones" sheetId="8" state="visible" r:id="rId10"/>
    <sheet name="Minuta" sheetId="9" state="visible" r:id="rId11"/>
    <sheet name="Riesgo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<sst xmlns="http://schemas.openxmlformats.org/spreadsheetml/2006/main" count="1220" uniqueCount="851">
  <si>
    <t xml:space="preserve">WKH-2026 · Entrega N3 — Resumen y controles</t>
  </si>
  <si>
    <t xml:space="preserve">Grupo 1 · Docente: Mag. Ezequiel Pietracupa. Cada hoja tiene sus propias fórmulas de control; aquí se consolidan.</t>
  </si>
  <si>
    <t xml:space="preserve">Indicador</t>
  </si>
  <si>
    <t xml:space="preserve">Valor</t>
  </si>
  <si>
    <t xml:space="preserve">Hoja</t>
  </si>
  <si>
    <t xml:space="preserve">Componentes analizados (hacer o comprar)</t>
  </si>
  <si>
    <t xml:space="preserve">Hacer o comprar</t>
  </si>
  <si>
    <t xml:space="preserve">…de los cuales se compran</t>
  </si>
  <si>
    <t xml:space="preserve">…de los cuales se hacen</t>
  </si>
  <si>
    <t xml:space="preserve">Control hacer o comprar</t>
  </si>
  <si>
    <t xml:space="preserve">Contratos</t>
  </si>
  <si>
    <t xml:space="preserve">Monto contratado (USD)</t>
  </si>
  <si>
    <t xml:space="preserve">Control contratos = costo base N2</t>
  </si>
  <si>
    <t xml:space="preserve">Paquetes en la RACIS</t>
  </si>
  <si>
    <t xml:space="preserve">RACIS</t>
  </si>
  <si>
    <t xml:space="preserve">Control RACIS</t>
  </si>
  <si>
    <t xml:space="preserve">Interesados registrados</t>
  </si>
  <si>
    <t xml:space="preserve">Interesados</t>
  </si>
  <si>
    <t xml:space="preserve">Comunicaciones planificadas</t>
  </si>
  <si>
    <t xml:space="preserve">Comunicaciones</t>
  </si>
  <si>
    <t xml:space="preserve">Riesgos preliminares</t>
  </si>
  <si>
    <t xml:space="preserve">Riesgos</t>
  </si>
  <si>
    <t xml:space="preserve">…de prioridad alta</t>
  </si>
  <si>
    <t xml:space="preserve">Análisis de hacer o comprar — WKH-2026 · Entrega N3</t>
  </si>
  <si>
    <t xml:space="preserve">Puntajes de 1 a 5 (juicio de expertos del equipo, en azul: editables). Pesos editables en la fila 5; deben sumar 100 %. La decisión se recalcula; los requisitos excluyentes se anotan aparte.</t>
  </si>
  <si>
    <t xml:space="preserve">Criterio</t>
  </si>
  <si>
    <t xml:space="preserve">Costo</t>
  </si>
  <si>
    <t xml:space="preserve">Plazo y disponibilidad</t>
  </si>
  <si>
    <t xml:space="preserve">Capacidad y competencia interna</t>
  </si>
  <si>
    <t xml:space="preserve">Riesgo y calidad del resultado</t>
  </si>
  <si>
    <t xml:space="preserve">Control y restricciones</t>
  </si>
  <si>
    <t xml:space="preserve">Pesos</t>
  </si>
  <si>
    <t xml:space="preserve">ID</t>
  </si>
  <si>
    <t xml:space="preserve">Componente</t>
  </si>
  <si>
    <t xml:space="preserve">Hacer · Costo</t>
  </si>
  <si>
    <t xml:space="preserve">Hacer · Plazo y disponibilidad</t>
  </si>
  <si>
    <t xml:space="preserve">Hacer · Capacidad y competencia interna</t>
  </si>
  <si>
    <t xml:space="preserve">Hacer · Riesgo y calidad del resultado</t>
  </si>
  <si>
    <t xml:space="preserve">Hacer · Control y restricciones</t>
  </si>
  <si>
    <t xml:space="preserve">Comprar · Costo</t>
  </si>
  <si>
    <t xml:space="preserve">Comprar · Plazo y disponibilidad</t>
  </si>
  <si>
    <t xml:space="preserve">Comprar · Capacidad y competencia interna</t>
  </si>
  <si>
    <t xml:space="preserve">Comprar · Riesgo y calidad del resultado</t>
  </si>
  <si>
    <t xml:space="preserve">Comprar · Control y restricciones</t>
  </si>
  <si>
    <t xml:space="preserve">Puntaje hacer</t>
  </si>
  <si>
    <t xml:space="preserve">Puntaje comprar</t>
  </si>
  <si>
    <t xml:space="preserve">Decisión por puntaje</t>
  </si>
  <si>
    <t xml:space="preserve">Decisión adoptada</t>
  </si>
  <si>
    <t xml:space="preserve">Opción hacer</t>
  </si>
  <si>
    <t xml:space="preserve">Opción comprar</t>
  </si>
  <si>
    <t xml:space="preserve">Fundamento / excluyente</t>
  </si>
  <si>
    <t xml:space="preserve">Partida N2</t>
  </si>
  <si>
    <t xml:space="preserve">C-1</t>
  </si>
  <si>
    <t xml:space="preserve">Plataforma de reservas</t>
  </si>
  <si>
    <t xml:space="preserve">Comprar</t>
  </si>
  <si>
    <t xml:space="preserve">Desarrollo a medida (alternativa B de la N1: USD 610.000, 14 meses)</t>
  </si>
  <si>
    <t xml:space="preserve">Licencia WorkHub de Tandem (USD 108.000, perpetua)</t>
  </si>
  <si>
    <t xml:space="preserve">Ratifica la N1: el desarrollo propio excede plazo (R-2) e inversión. Se compra la licencia con primer año de soporte.</t>
  </si>
  <si>
    <t xml:space="preserve">P-1</t>
  </si>
  <si>
    <t xml:space="preserve">C-2</t>
  </si>
  <si>
    <t xml:space="preserve">Implementación, configuración e integraciones</t>
  </si>
  <si>
    <t xml:space="preserve">Equipo interno de VCA</t>
  </si>
  <si>
    <t xml:space="preserve">Servicios de Tandem (licenciante e implementador)</t>
  </si>
  <si>
    <t xml:space="preserve">VCA solo puede asignar 0,5 FTE por área (R-6) y no tiene experiencia en WorkHub. Tandem aporta 10 perfiles.</t>
  </si>
  <si>
    <t xml:space="preserve">Mano de obra Tandem</t>
  </si>
  <si>
    <t xml:space="preserve">C-3</t>
  </si>
  <si>
    <t xml:space="preserve">Infraestructura en la nube (ambientes de desarrollo, QA y producción)</t>
  </si>
  <si>
    <t xml:space="preserve">Hacer</t>
  </si>
  <si>
    <t xml:space="preserve">Aprovisionar en la suscripción Azure corporativa de VCA (Brasil Sur)</t>
  </si>
  <si>
    <t xml:space="preserve">Hosting gestionado por Tandem o un tercero</t>
  </si>
  <si>
    <t xml:space="preserve">R-5 exige la nube corporativa de VCA: el hosting de terceros no es admisible. Se consume bajo el contrato vigente de VCA.</t>
  </si>
  <si>
    <t xml:space="preserve">P-2a, P-2b, P-2c</t>
  </si>
  <si>
    <t xml:space="preserve">C-4</t>
  </si>
  <si>
    <t xml:space="preserve">Observabilidad y herramientas del equipo (APM, CI/CD, backlog, bóveda de secretos)</t>
  </si>
  <si>
    <t xml:space="preserve">Instalar y operar herramientas de código abierto (≈ 8 días-persona de DevOps)</t>
  </si>
  <si>
    <t xml:space="preserve">Servicios gestionados por suscripción (USD 3.780 en 7 meses)</t>
  </si>
  <si>
    <t xml:space="preserve">Costo similar, pero la opción propia consume DevOps en el arranque (5.1) y suma operación. Las suscripciones quedan en el tenant de VCA.</t>
  </si>
  <si>
    <t xml:space="preserve">P-2d, P-2e</t>
  </si>
  <si>
    <t xml:space="preserve">C-5</t>
  </si>
  <si>
    <t xml:space="preserve">Prueba de intrusión (RA-2)</t>
  </si>
  <si>
    <t xml:space="preserve">QA e Integraciones de Tandem (≈ 10 días-persona)</t>
  </si>
  <si>
    <t xml:space="preserve">Proveedor especializado e independiente (USD 7.500)</t>
  </si>
  <si>
    <t xml:space="preserve">Criterio excluyente: quien prueba no puede ser quien implementó (segregación de funciones). El equipo no tiene especialistas en pruebas ofensivas.</t>
  </si>
  <si>
    <t xml:space="preserve">P-4a</t>
  </si>
  <si>
    <t xml:space="preserve">C-6</t>
  </si>
  <si>
    <t xml:space="preserve">Contenidos de adopción (piezas de campaña, videotutoriales y guías)</t>
  </si>
  <si>
    <t xml:space="preserve">Comprar (mixto)</t>
  </si>
  <si>
    <t xml:space="preserve">Producción con el equipo del proyecto</t>
  </si>
  <si>
    <t xml:space="preserve">Agencia de contenidos (USD 7.200)</t>
  </si>
  <si>
    <t xml:space="preserve">No hay diseño gráfico ni audiovisual en el equipo y el UX está en la plataforma. Guiones y mensajes los escriben Gestión del cambio y RR.HH.; la agencia produce.</t>
  </si>
  <si>
    <t xml:space="preserve">P-3a, P-3b</t>
  </si>
  <si>
    <t xml:space="preserve">C-7</t>
  </si>
  <si>
    <t xml:space="preserve">Logística de capacitación (30 sesiones)</t>
  </si>
  <si>
    <t xml:space="preserve">Salas de Catalinas y referentes de VCA</t>
  </si>
  <si>
    <t xml:space="preserve">Capacitadora externa</t>
  </si>
  <si>
    <t xml:space="preserve">Las sesiones las dictan los referentes formados en 4.4 (efecto multiplicador). Solo se compran insumos menores.</t>
  </si>
  <si>
    <t xml:space="preserve">P-3c</t>
  </si>
  <si>
    <t xml:space="preserve">C-8</t>
  </si>
  <si>
    <t xml:space="preserve">Encuestas de intención de uso y pulso</t>
  </si>
  <si>
    <t xml:space="preserve">Microsoft Forms (incluido en Microsoft 365) y análisis de RR.HH.</t>
  </si>
  <si>
    <t xml:space="preserve">Servicio de encuesta anónima (USD 900)</t>
  </si>
  <si>
    <t xml:space="preserve">Diferencia mínima (3,90 contra 3,80). Pesa el anonimato garantizado por un tercero frente a la resistencia (RI-3). Si Legal valida el anonimato con Forms, se hace y se liberan USD 900.</t>
  </si>
  <si>
    <t xml:space="preserve">P-3d</t>
  </si>
  <si>
    <t xml:space="preserve">C-9</t>
  </si>
  <si>
    <t xml:space="preserve">Entornos sandbox de conectores (HRIS y Exchange)</t>
  </si>
  <si>
    <t xml:space="preserve">Simular los conectores con datos ficticios</t>
  </si>
  <si>
    <t xml:space="preserve">Entornos de prueba de los proveedores (USD 2.400)</t>
  </si>
  <si>
    <t xml:space="preserve">Simularlos no certifica la integración real (RA-3) y trasladaría los defectos a producción.</t>
  </si>
  <si>
    <t xml:space="preserve">P-4b</t>
  </si>
  <si>
    <t xml:space="preserve">C-10</t>
  </si>
  <si>
    <t xml:space="preserve">Digitalización de planos e inventario de puestos</t>
  </si>
  <si>
    <t xml:space="preserve">Servicios Generales con los planos existentes y carga por DevOps</t>
  </si>
  <si>
    <t xml:space="preserve">Relevamiento y digitalización por un tercero</t>
  </si>
  <si>
    <t xml:space="preserve">Supuesto: Servicios Generales dispone de planos actualizados de las cuatro plantas. Si el relevamiento muestra que no, se compra el servicio por solicitud de cambio.</t>
  </si>
  <si>
    <t xml:space="preserve">Mano de obra (2.2)</t>
  </si>
  <si>
    <t xml:space="preserve">C-11</t>
  </si>
  <si>
    <t xml:space="preserve">Mesa de ayuda de nivel 1 desde el go-live</t>
  </si>
  <si>
    <t xml:space="preserve">Mesa de ayuda corporativa de VCA con los materiales de 4.5</t>
  </si>
  <si>
    <t xml:space="preserve">Tercerizar el nivel 1 en Tandem</t>
  </si>
  <si>
    <t xml:space="preserve">La mesa corporativa ya atiende a los 1.200 colaboradores. El nivel 2 lo cubre el contrato de mantenimiento (N1), fuera del proyecto.</t>
  </si>
  <si>
    <t xml:space="preserve">Mano de obra (4.5)</t>
  </si>
  <si>
    <t xml:space="preserve">Control</t>
  </si>
  <si>
    <t xml:space="preserve">Contratos, tipos y calendario de adjudicación</t>
  </si>
  <si>
    <t xml:space="preserve">Montos tomados del presupuesto de la N2 corregida (partidas y mano de obra de Tandem). El total más las horas de VCA debe dar el costo base de la N2.</t>
  </si>
  <si>
    <t xml:space="preserve">Objeto</t>
  </si>
  <si>
    <t xml:space="preserve">Proveedor</t>
  </si>
  <si>
    <t xml:space="preserve">Tipo de contrato</t>
  </si>
  <si>
    <t xml:space="preserve">Por qué ese tipo</t>
  </si>
  <si>
    <t xml:space="preserve">USD (N2)</t>
  </si>
  <si>
    <t xml:space="preserve">Pago</t>
  </si>
  <si>
    <t xml:space="preserve">Firma (S)</t>
  </si>
  <si>
    <t xml:space="preserve">Necesario desde</t>
  </si>
  <si>
    <t xml:space="preserve">Adjudicar / firmar</t>
  </si>
  <si>
    <t xml:space="preserve">Partidas N2</t>
  </si>
  <si>
    <t xml:space="preserve">% del costo base</t>
  </si>
  <si>
    <t xml:space="preserve">K-1</t>
  </si>
  <si>
    <t xml:space="preserve">Licencia WorkHub para 1.200 usuarios nominados</t>
  </si>
  <si>
    <t xml:space="preserve">Tandem Workplace Solutions S.R.L.</t>
  </si>
  <si>
    <t xml:space="preserve">Precio fijo cerrado (compraventa de licencia)</t>
  </si>
  <si>
    <t xml:space="preserve">Producto estándar con precio de lista: no hay incertidumbre de alcance.</t>
  </si>
  <si>
    <t xml:space="preserve">100 % a la firma; primer año de soporte incluido</t>
  </si>
  <si>
    <t xml:space="preserve">Sponsor (VCA) y representante de Tandem</t>
  </si>
  <si>
    <t xml:space="preserve">01/10/26 (H-0)</t>
  </si>
  <si>
    <t xml:space="preserve">Con la ratificación de H-1 (17/10/26)</t>
  </si>
  <si>
    <t xml:space="preserve">K-2</t>
  </si>
  <si>
    <t xml:space="preserve">Servicios de implementación (SOW-1)</t>
  </si>
  <si>
    <t xml:space="preserve">Precio fijo por entregables con pagos por hito; cambios por tiempo y materiales</t>
  </si>
  <si>
    <t xml:space="preserve">El alcance está cerrado en 31 paquetes con criterios de aceptación: el riesgo de costo queda en el proveedor. Los cambios aprobados se valorizan con el tarifario de la N2.</t>
  </si>
  <si>
    <t xml:space="preserve">Por hito aceptado (tabla de 1.3); el 20 % de H-7 se libera solo con el acta de cierre (RA-5)</t>
  </si>
  <si>
    <t xml:space="preserve">K-3</t>
  </si>
  <si>
    <t xml:space="preserve">Ambientes en Azure y observabilidad (SOW-4)</t>
  </si>
  <si>
    <t xml:space="preserve">Microsoft, mediante el contrato corporativo vigente de VCA</t>
  </si>
  <si>
    <t xml:space="preserve">Precio unitario por consumo (ampliación del contrato existente)</t>
  </si>
  <si>
    <t xml:space="preserve">El consumo depende del uso real; VCA ya tiene el contrato y R-5 obliga a usarlo.</t>
  </si>
  <si>
    <t xml:space="preserve">Mensual, contra consumo</t>
  </si>
  <si>
    <t xml:space="preserve">Tecnología de VCA (dentro de su contrato)</t>
  </si>
  <si>
    <t xml:space="preserve">14/10/26 (inicio de 5.1)</t>
  </si>
  <si>
    <t xml:space="preserve">Solicitud interna, 1–2 días hábiles</t>
  </si>
  <si>
    <t xml:space="preserve">P-2a a P-2d</t>
  </si>
  <si>
    <t xml:space="preserve">K-4</t>
  </si>
  <si>
    <t xml:space="preserve">Herramientas del equipo: CI/CD, backlog (Jira) y bóveda de secretos</t>
  </si>
  <si>
    <t xml:space="preserve">Proveedores SaaS, a nombre de VCA</t>
  </si>
  <si>
    <t xml:space="preserve">Precio unitario (suscripción mensual por usuario)</t>
  </si>
  <si>
    <t xml:space="preserve">Servicio estándar, cancelable al cierre; la propiedad del código y del backlog queda en VCA.</t>
  </si>
  <si>
    <t xml:space="preserve">Mensual</t>
  </si>
  <si>
    <t xml:space="preserve">PM</t>
  </si>
  <si>
    <t xml:space="preserve">Compra directa</t>
  </si>
  <si>
    <t xml:space="preserve">P-2e</t>
  </si>
  <si>
    <t xml:space="preserve">K-5</t>
  </si>
  <si>
    <t xml:space="preserve">Prueba de intrusión externa (SOW-2)</t>
  </si>
  <si>
    <t xml:space="preserve">A seleccionar entre tres oferentes independientes de Tandem</t>
  </si>
  <si>
    <t xml:space="preserve">Precio fijo cerrado</t>
  </si>
  <si>
    <t xml:space="preserve">Alcance acotado y verificable (objetivos, metodología, re-test): el oferente puede cotizar con certeza.</t>
  </si>
  <si>
    <t xml:space="preserve">100 % contra informe final y re-test aceptados</t>
  </si>
  <si>
    <t xml:space="preserve">Sponsor (VCA)</t>
  </si>
  <si>
    <t xml:space="preserve">13/11/26 (inicio de 3.4)</t>
  </si>
  <si>
    <t xml:space="preserve">06/11/26</t>
  </si>
  <si>
    <t xml:space="preserve">K-6</t>
  </si>
  <si>
    <t xml:space="preserve">Contenidos de adopción (SOW-3)</t>
  </si>
  <si>
    <t xml:space="preserve">Agencia de contenidos a seleccionar (tres cotizaciones)</t>
  </si>
  <si>
    <t xml:space="preserve">Precio unitario por pieza (orden de compra abierta)</t>
  </si>
  <si>
    <t xml:space="preserve">Cantidades conocidas y precio por pieza; permite ajustar piezas sin renegociar.</t>
  </si>
  <si>
    <t xml:space="preserve">Por pieza aceptada por RR.HH.</t>
  </si>
  <si>
    <t xml:space="preserve">10/11/26 (inicio de 4.4); piezas de campaña al 01/03/27</t>
  </si>
  <si>
    <t xml:space="preserve">30/10/26 (orden 1) y 12/02/27 (orden 2)</t>
  </si>
  <si>
    <t xml:space="preserve">K-7</t>
  </si>
  <si>
    <t xml:space="preserve">Entornos sandbox de HRIS y Exchange</t>
  </si>
  <si>
    <t xml:space="preserve">Proveedor del HRIS y Microsoft (tenant de pruebas)</t>
  </si>
  <si>
    <t xml:space="preserve">Precio fijo por entorno</t>
  </si>
  <si>
    <t xml:space="preserve">Servicio estándar de los fabricantes, sin variación de alcance.</t>
  </si>
  <si>
    <t xml:space="preserve">A la habilitación</t>
  </si>
  <si>
    <t xml:space="preserve">PM (proveedor único)</t>
  </si>
  <si>
    <t xml:space="preserve">30/10/26 (inicio de 3.2 y 3.3)</t>
  </si>
  <si>
    <t xml:space="preserve">23/10/26</t>
  </si>
  <si>
    <t xml:space="preserve">K-8</t>
  </si>
  <si>
    <t xml:space="preserve">Encuesta anónima de intención de uso y pulso</t>
  </si>
  <si>
    <t xml:space="preserve">Proveedor de encuestas a seleccionar</t>
  </si>
  <si>
    <t xml:space="preserve">Servicio acotado; garantiza el anonimato de las respuestas.</t>
  </si>
  <si>
    <t xml:space="preserve">Contra informe de resultados</t>
  </si>
  <si>
    <t xml:space="preserve">13/10/26 (4.1, en curso)</t>
  </si>
  <si>
    <t xml:space="preserve">K-9</t>
  </si>
  <si>
    <t xml:space="preserve">Insumos de capacitación para 30 sesiones</t>
  </si>
  <si>
    <t xml:space="preserve">Proveedores habituales de VCA</t>
  </si>
  <si>
    <t xml:space="preserve">Orden de compra (precio unitario)</t>
  </si>
  <si>
    <t xml:space="preserve">Compra menor recurrente.</t>
  </si>
  <si>
    <t xml:space="preserve">Contra entrega</t>
  </si>
  <si>
    <t xml:space="preserve">Sponsor (orden de compra de RR.HH.)</t>
  </si>
  <si>
    <t xml:space="preserve">10/11/26 (inicio de 4.4)</t>
  </si>
  <si>
    <t xml:space="preserve">03/11/26 (tres cotizaciones)</t>
  </si>
  <si>
    <t xml:space="preserve">Total</t>
  </si>
  <si>
    <t xml:space="preserve">Horas de VCA (N2)</t>
  </si>
  <si>
    <t xml:space="preserve">Costo base N2</t>
  </si>
  <si>
    <t xml:space="preserve">Pagos por hito del contrato K-2 (servicios de implementación)</t>
  </si>
  <si>
    <t xml:space="preserve">Hito</t>
  </si>
  <si>
    <t xml:space="preserve">Fecha plan</t>
  </si>
  <si>
    <t xml:space="preserve">Entregable que habilita el pago</t>
  </si>
  <si>
    <t xml:space="preserve">%</t>
  </si>
  <si>
    <t xml:space="preserve">USD</t>
  </si>
  <si>
    <t xml:space="preserve">H-2</t>
  </si>
  <si>
    <t xml:space="preserve">17/11/26</t>
  </si>
  <si>
    <t xml:space="preserve">Diseño UX/UI y reglas validados; inventario cargado</t>
  </si>
  <si>
    <t xml:space="preserve">H-3</t>
  </si>
  <si>
    <t xml:space="preserve">18/12/26</t>
  </si>
  <si>
    <t xml:space="preserve">Piloto de la planta 3 completado</t>
  </si>
  <si>
    <t xml:space="preserve">H-4</t>
  </si>
  <si>
    <t xml:space="preserve">07/01/27</t>
  </si>
  <si>
    <t xml:space="preserve">Notificaciones completas; seguridad, integración y carga superadas</t>
  </si>
  <si>
    <t xml:space="preserve">H-5</t>
  </si>
  <si>
    <t xml:space="preserve">19/03/27</t>
  </si>
  <si>
    <t xml:space="preserve">UAT aceptada (acta firmada)</t>
  </si>
  <si>
    <t xml:space="preserve">H-6</t>
  </si>
  <si>
    <t xml:space="preserve">31/03/27</t>
  </si>
  <si>
    <t xml:space="preserve">Puesta en producción en las cuatro plantas</t>
  </si>
  <si>
    <t xml:space="preserve">H-7</t>
  </si>
  <si>
    <t xml:space="preserve">30/04/27</t>
  </si>
  <si>
    <t xml:space="preserve">Cierre, estabilización, tablero e informe aceptados (pago final, actúa como retención)</t>
  </si>
  <si>
    <t xml:space="preserve">Reglas de compra (del plan; a validar con la política de compras de VCA)</t>
  </si>
  <si>
    <t xml:space="preserve">Monto</t>
  </si>
  <si>
    <t xml:space="preserve">Procedimiento</t>
  </si>
  <si>
    <t xml:space="preserve">Aprueba</t>
  </si>
  <si>
    <t xml:space="preserve">Hasta USD 2.500</t>
  </si>
  <si>
    <t xml:space="preserve">Compra directa con una cotización</t>
  </si>
  <si>
    <t xml:space="preserve">USD 2.500 a USD 10.000</t>
  </si>
  <si>
    <t xml:space="preserve">Tres cotizaciones comparables y matriz de evaluación</t>
  </si>
  <si>
    <t xml:space="preserve">Sponsor</t>
  </si>
  <si>
    <t xml:space="preserve">Más de USD 10.000 o contrato principal</t>
  </si>
  <si>
    <t xml:space="preserve">Contrato con SOW y revisión legal y de seguridad</t>
  </si>
  <si>
    <t xml:space="preserve">Sponsor (el Comité ya lo aprobó en el caso de negocio)</t>
  </si>
  <si>
    <t xml:space="preserve">Ampliación de un contrato vigente de VCA</t>
  </si>
  <si>
    <t xml:space="preserve">Según el contrato original</t>
  </si>
  <si>
    <t xml:space="preserve">Área titular del contrato</t>
  </si>
  <si>
    <t xml:space="preserve">Matriz de evaluación de ofertas (K-5, K-6 y K-9): puntaje de 1 a 5 por oferente</t>
  </si>
  <si>
    <t xml:space="preserve">Peso</t>
  </si>
  <si>
    <t xml:space="preserve">Oferente 1</t>
  </si>
  <si>
    <t xml:space="preserve">Oferente 2</t>
  </si>
  <si>
    <t xml:space="preserve">Oferente 3</t>
  </si>
  <si>
    <t xml:space="preserve">Experiencia y certificaciones del equipo</t>
  </si>
  <si>
    <t xml:space="preserve">Metodología y alcance propuesto</t>
  </si>
  <si>
    <t xml:space="preserve">Precio</t>
  </si>
  <si>
    <t xml:space="preserve">Plazo y disponibilidad en la ventana</t>
  </si>
  <si>
    <t xml:space="preserve">Puntaje ponderado</t>
  </si>
  <si>
    <t xml:space="preserve">Enunciados del trabajo (SOW)</t>
  </si>
  <si>
    <t xml:space="preserve">Un bloque por componente a contratar.</t>
  </si>
  <si>
    <t xml:space="preserve">SOW-1 · Servicios de implementación de WorkHub (contrato K-2)</t>
  </si>
  <si>
    <t xml:space="preserve">Configuración, integración, pruebas, despliegue y estabilización de WorkHub en la sede Catalinas, con gestión del cambio, según la EDT de 31 paquetes (N1) y el plan de la N2.</t>
  </si>
  <si>
    <t xml:space="preserve">Alcance</t>
  </si>
  <si>
    <t xml:space="preserve">Paquetes 1.1–1.6, 2.1–2.9, 3.1–3.5, 4.1–4.5 y 5.1–5.6 en la parte que ejecuta Tandem. Excluye las tareas de VCA (planos, política, mesa de ayuda) y las exclusiones E-1 a E-13 de la N1.</t>
  </si>
  <si>
    <t xml:space="preserve">Equipo mínimo</t>
  </si>
  <si>
    <t xml:space="preserve">PM, PO, UX/UI, 2 desarrolladores full-stack, QA, 2 ingenieros de integraciones, DevOps y consultor/a de gestión del cambio. El reemplazo de una persona clave requiere aviso de 10 días hábiles y un perfil equivalente aprobado por VCA.</t>
  </si>
  <si>
    <t xml:space="preserve">Entregables y aceptación</t>
  </si>
  <si>
    <t xml:space="preserve">Los cinco macro-entregables con los criterios de aceptación por entregable de la N1 (2.4). Cada hito de pago exige acta firmada por quien figura con S en la RACIS.</t>
  </si>
  <si>
    <t xml:space="preserve">Plazo y lugar</t>
  </si>
  <si>
    <t xml:space="preserve">01/10/2026 – 30/04/2027; trabajo híbrido entre las oficinas de Tandem y Catalinas, presencial en piloto, UAT y go-live.</t>
  </si>
  <si>
    <t xml:space="preserve">Precio y pago</t>
  </si>
  <si>
    <t xml:space="preserve">Precio fijo de USD 216.888 (estimación de la N2 a negociar), pagado por hitos; el último pago (20 %) se libera con el acta de cierre. Cambios aprobados por el Comité: tiempo y materiales con el tarifario de la N2, financiados con la reserva de gestión.</t>
  </si>
  <si>
    <t xml:space="preserve">Propiedad y datos</t>
  </si>
  <si>
    <t xml:space="preserve">Configuración, scripts, documentación y backlog son de VCA y quedan en su tenant. Confidencialidad y tratamiento de datos según la Ley 25.326 y la política de VCA (R-4).</t>
  </si>
  <si>
    <t xml:space="preserve">SOW-2 · Prueba de intrusión externa (contrato K-5)</t>
  </si>
  <si>
    <t xml:space="preserve">Prueba de intrusión de caja gris sobre la instancia de WorkHub de VCA: aplicación web, bot de Teams, APIs e inicio de sesión único.</t>
  </si>
  <si>
    <t xml:space="preserve">Metodología</t>
  </si>
  <si>
    <t xml:space="preserve">OWASP Web Security Testing Guide y OWASP Top 10; severidad de hallazgos con CVSS v3.1. Pruebas en el ambiente de QA/staging, nunca en producción.</t>
  </si>
  <si>
    <t xml:space="preserve">Entregables</t>
  </si>
  <si>
    <t xml:space="preserve">Plan de pruebas aprobado; informe ejecutivo y técnico con evidencia y recomendaciones; re-test de los hallazgos críticos y altos.</t>
  </si>
  <si>
    <t xml:space="preserve">Plazo</t>
  </si>
  <si>
    <t xml:space="preserve">Del 13/11 al 04/12/2026 (dentro de 3.4): 8 días hábiles de pruebas, informe al 26/11 y re-test antes del 04/12.</t>
  </si>
  <si>
    <t xml:space="preserve">Requisitos del proveedor</t>
  </si>
  <si>
    <t xml:space="preserve">Sin vínculo societario ni comercial con Tandem; equipo con certificación en pruebas ofensivas (OSCP o equivalente); acuerdo de confidencialidad y de tratamiento de datos.</t>
  </si>
  <si>
    <t xml:space="preserve">Aceptación</t>
  </si>
  <si>
    <t xml:space="preserve">Seguridad de la Información de VCA firma el informe final: cero hallazgos críticos o altos abiertos (RA-2).</t>
  </si>
  <si>
    <t xml:space="preserve">Precio fijo de USD 7.500; 100 % contra informe final y re-test aceptados.</t>
  </si>
  <si>
    <t xml:space="preserve">SOW-3 · Contenidos de adopción (contrato K-6)</t>
  </si>
  <si>
    <t xml:space="preserve">Producción de 8 materiales de capacitación (videotutoriales de hasta 3 minutos con guía PDF) y 12 piezas de la campaña de lanzamiento.</t>
  </si>
  <si>
    <t xml:space="preserve">Insumos de VCA y Tandem</t>
  </si>
  <si>
    <t xml:space="preserve">Guiones y mensajes de Gestión del cambio y RR.HH.; capturas del ambiente de QA con datos ficticios; manual de marca de VCA.</t>
  </si>
  <si>
    <t xml:space="preserve">Requisitos</t>
  </si>
  <si>
    <t xml:space="preserve">Subtítulos en todos los videos; formatos para correo, Teams, intranet y pantallas de la sede; sin datos personales reales; dos rondas de revisión por pieza.</t>
  </si>
  <si>
    <t xml:space="preserve">Orden 1 (materiales): del 10/11 al 17/12/2026, para 4.4 y 4.5. Orden 2 (campaña): entrega al 26/02/2027 para 4.3, que empieza el 01/03.</t>
  </si>
  <si>
    <t xml:space="preserve">Aceptación y pago</t>
  </si>
  <si>
    <t xml:space="preserve">RR.HH. de VCA acepta cada pieza; pago por pieza aceptada (USD 450 por material, USD 300 por pieza de campaña).</t>
  </si>
  <si>
    <t xml:space="preserve">SOW-4 · Ambientes en Azure y observabilidad (contrato K-3)</t>
  </si>
  <si>
    <t xml:space="preserve">Ambientes de desarrollo y QA/staging desde el 14/10/2026, producción desde la preproducción de marzo, y monitoreo de aplicación y registros.</t>
  </si>
  <si>
    <t xml:space="preserve">Región Brasil Sur, dentro de la suscripción corporativa de VCA (R-5); acceso por roles con cuentas de Entra ID; copias de seguridad diarias; separación de datos de prueba y de producción.</t>
  </si>
  <si>
    <t xml:space="preserve">Responsables</t>
  </si>
  <si>
    <t xml:space="preserve">Tecnología de VCA aprueba y paga el consumo; DevOps de Tandem aprovisiona y opera dentro de los permisos asignados.</t>
  </si>
  <si>
    <t xml:space="preserve">Tecnología de VCA verifica cada ambiente antes de su uso; el de producción, antes del go-live del 31/03/2027.</t>
  </si>
  <si>
    <t xml:space="preserve">Consumo estimado de USD 5.494 en el proyecto (N2); desde el mes 13, hosting de USD 5.060 anuales del caso de negocio.</t>
  </si>
  <si>
    <t xml:space="preserve">Matriz RACIS — 31 paquetes de la EDT</t>
  </si>
  <si>
    <t xml:space="preserve">R ejecuta · A rinde cuentas (uno por fila) · C consultado · I informado · S firma. Varias letras se separan con coma. Las columnas de control validan las reglas de la cátedra.</t>
  </si>
  <si>
    <t xml:space="preserve">Paquete</t>
  </si>
  <si>
    <t xml:space="preserve">Nombre</t>
  </si>
  <si>
    <t xml:space="preserve">Project Manager</t>
  </si>
  <si>
    <t xml:space="preserve">Product Owner</t>
  </si>
  <si>
    <t xml:space="preserve">UX/UI</t>
  </si>
  <si>
    <t xml:space="preserve">Desarrollo full-stack (2)</t>
  </si>
  <si>
    <t xml:space="preserve">QA</t>
  </si>
  <si>
    <t xml:space="preserve">Integraciones (2)</t>
  </si>
  <si>
    <t xml:space="preserve">DevOps</t>
  </si>
  <si>
    <t xml:space="preserve">Gestión del cambio</t>
  </si>
  <si>
    <t xml:space="preserve">Tecnología VCA</t>
  </si>
  <si>
    <t xml:space="preserve">Servicios Generales VCA</t>
  </si>
  <si>
    <t xml:space="preserve">RR.HH. VCA</t>
  </si>
  <si>
    <t xml:space="preserve">Seguridad de la Información VCA</t>
  </si>
  <si>
    <t xml:space="preserve">Proveedor de pruebas de intrusión</t>
  </si>
  <si>
    <t xml:space="preserve">Agencia de contenidos</t>
  </si>
  <si>
    <t xml:space="preserve">Cantidad de A</t>
  </si>
  <si>
    <t xml:space="preserve">Cantidad de R</t>
  </si>
  <si>
    <t xml:space="preserve">Control de fila</t>
  </si>
  <si>
    <t xml:space="preserve">Persona u organización</t>
  </si>
  <si>
    <t xml:space="preserve">Mariana Ferreyra, CFO de VCA</t>
  </si>
  <si>
    <t xml:space="preserve">Julián Ferrari, Tandem</t>
  </si>
  <si>
    <t xml:space="preserve">Carolina Méndez, Tandem</t>
  </si>
  <si>
    <t xml:space="preserve">Tandem</t>
  </si>
  <si>
    <t xml:space="preserve">Pablo Guzmán</t>
  </si>
  <si>
    <t xml:space="preserve">Damián Sosa</t>
  </si>
  <si>
    <t xml:space="preserve">Soledad Ibarra</t>
  </si>
  <si>
    <t xml:space="preserve">VCA</t>
  </si>
  <si>
    <t xml:space="preserve">externo (K-5)</t>
  </si>
  <si>
    <t xml:space="preserve">externo (K-6)</t>
  </si>
  <si>
    <t xml:space="preserve">1.1</t>
  </si>
  <si>
    <t xml:space="preserve">Acta de constitución</t>
  </si>
  <si>
    <t xml:space="preserve">A, S</t>
  </si>
  <si>
    <t xml:space="preserve">R, S</t>
  </si>
  <si>
    <t xml:space="preserve">1.2</t>
  </si>
  <si>
    <t xml:space="preserve">Declaración del alcance y EDT</t>
  </si>
  <si>
    <t xml:space="preserve">R</t>
  </si>
  <si>
    <t xml:space="preserve">C</t>
  </si>
  <si>
    <t xml:space="preserve">1.3</t>
  </si>
  <si>
    <t xml:space="preserve">Cronograma, presupuesto y línea base</t>
  </si>
  <si>
    <t xml:space="preserve">1.4</t>
  </si>
  <si>
    <t xml:space="preserve">Registro de riesgos e interesados</t>
  </si>
  <si>
    <t xml:space="preserve">I</t>
  </si>
  <si>
    <t xml:space="preserve">A, R</t>
  </si>
  <si>
    <t xml:space="preserve">1.5</t>
  </si>
  <si>
    <t xml:space="preserve">Seguimiento, cambios e informes</t>
  </si>
  <si>
    <t xml:space="preserve">1.6</t>
  </si>
  <si>
    <t xml:space="preserve">Cierre y lecciones aprendidas</t>
  </si>
  <si>
    <t xml:space="preserve">2.1</t>
  </si>
  <si>
    <t xml:space="preserve">Relevamiento y reglas de negocio</t>
  </si>
  <si>
    <t xml:space="preserve">2.2</t>
  </si>
  <si>
    <t xml:space="preserve">Planos e inventario de espacios</t>
  </si>
  <si>
    <t xml:space="preserve">2.3</t>
  </si>
  <si>
    <t xml:space="preserve">Módulo de reserva de escritorios</t>
  </si>
  <si>
    <t xml:space="preserve">A</t>
  </si>
  <si>
    <t xml:space="preserve">2.4</t>
  </si>
  <si>
    <t xml:space="preserve">Módulo de reserva de salas</t>
  </si>
  <si>
    <t xml:space="preserve">2.5</t>
  </si>
  <si>
    <t xml:space="preserve">Check-in, check-out y liberación</t>
  </si>
  <si>
    <t xml:space="preserve">2.6</t>
  </si>
  <si>
    <t xml:space="preserve">Notificaciones y sugerencias</t>
  </si>
  <si>
    <t xml:space="preserve">2.7</t>
  </si>
  <si>
    <t xml:space="preserve">Diseño UX</t>
  </si>
  <si>
    <t xml:space="preserve">2.8</t>
  </si>
  <si>
    <t xml:space="preserve">Implementación bot de Teams</t>
  </si>
  <si>
    <t xml:space="preserve">2.9</t>
  </si>
  <si>
    <t xml:space="preserve">Configuración web</t>
  </si>
  <si>
    <t xml:space="preserve">3.1</t>
  </si>
  <si>
    <t xml:space="preserve">SSO y SCIM con Entra ID</t>
  </si>
  <si>
    <t xml:space="preserve">3.2</t>
  </si>
  <si>
    <t xml:space="preserve">Sincronización con HRIS</t>
  </si>
  <si>
    <t xml:space="preserve">3.3</t>
  </si>
  <si>
    <t xml:space="preserve">Exchange, Outlook y Teams</t>
  </si>
  <si>
    <t xml:space="preserve">3.4</t>
  </si>
  <si>
    <t xml:space="preserve">Seguridad y endurecimiento</t>
  </si>
  <si>
    <t xml:space="preserve">3.5</t>
  </si>
  <si>
    <t xml:space="preserve">Pruebas de integración y carga</t>
  </si>
  <si>
    <t xml:space="preserve">4.1</t>
  </si>
  <si>
    <t xml:space="preserve">Impacto e interesados con RR.HH.</t>
  </si>
  <si>
    <t xml:space="preserve">4.2</t>
  </si>
  <si>
    <t xml:space="preserve">Política de trabajo flexible</t>
  </si>
  <si>
    <t xml:space="preserve">S</t>
  </si>
  <si>
    <t xml:space="preserve">4.3</t>
  </si>
  <si>
    <t xml:space="preserve">Comunicación y lanzamiento</t>
  </si>
  <si>
    <t xml:space="preserve">4.4</t>
  </si>
  <si>
    <t xml:space="preserve">Referentes y capacitación</t>
  </si>
  <si>
    <t xml:space="preserve">4.5</t>
  </si>
  <si>
    <t xml:space="preserve">Materiales y mesa de ayuda N1</t>
  </si>
  <si>
    <t xml:space="preserve">5.1</t>
  </si>
  <si>
    <t xml:space="preserve">Ambientes, migración y despliegue</t>
  </si>
  <si>
    <t xml:space="preserve">5.2</t>
  </si>
  <si>
    <t xml:space="preserve">Piloto y ajustes</t>
  </si>
  <si>
    <t xml:space="preserve">5.3</t>
  </si>
  <si>
    <t xml:space="preserve">UAT y acta de aceptación</t>
  </si>
  <si>
    <t xml:space="preserve">5.4</t>
  </si>
  <si>
    <t xml:space="preserve">Go-live y estabilización (4 semanas)</t>
  </si>
  <si>
    <t xml:space="preserve">5.5</t>
  </si>
  <si>
    <t xml:space="preserve">Tablero y transferencia del seguimiento</t>
  </si>
  <si>
    <t xml:space="preserve">C, S</t>
  </si>
  <si>
    <t xml:space="preserve">5.6</t>
  </si>
  <si>
    <t xml:space="preserve">Informe de ocupación y recomendación</t>
  </si>
  <si>
    <t xml:space="preserve">Cantidad de A por rol</t>
  </si>
  <si>
    <t xml:space="preserve">Cantidad de R por rol</t>
  </si>
  <si>
    <t xml:space="preserve">Cantidad de S por rol</t>
  </si>
  <si>
    <t xml:space="preserve">Control de la matriz</t>
  </si>
  <si>
    <t xml:space="preserve">Roles y responsabilidades del equipo</t>
  </si>
  <si>
    <t xml:space="preserve">Participación: días-persona asignados en el presupuesto de la N2.</t>
  </si>
  <si>
    <t xml:space="preserve">Rol</t>
  </si>
  <si>
    <t xml:space="preserve">Quién</t>
  </si>
  <si>
    <t xml:space="preserve">Participación (N2)</t>
  </si>
  <si>
    <t xml:space="preserve">Responsabilidades</t>
  </si>
  <si>
    <t xml:space="preserve">Autoridad</t>
  </si>
  <si>
    <t xml:space="preserve">Julián Ferrari (Tandem)</t>
  </si>
  <si>
    <t xml:space="preserve">85,3 d-p · todo el proyecto</t>
  </si>
  <si>
    <t xml:space="preserve">Dirige la ejecución, mantiene la línea base, coordina los frentes y los contratos, conduce weekly e informes.</t>
  </si>
  <si>
    <t xml:space="preserve">Reordena tareas dentro del alcance; aplica contingencia hasta USD 5.000 por evento; escala al Sponsor.</t>
  </si>
  <si>
    <t xml:space="preserve">Carolina Méndez (Tandem)</t>
  </si>
  <si>
    <t xml:space="preserve">42,7 d-p · 2.1 a 2.9, piloto, UAT</t>
  </si>
  <si>
    <t xml:space="preserve">Prioriza el backlog, define con VCA las reglas de reserva, acepta las historias y conduce el piloto.</t>
  </si>
  <si>
    <t xml:space="preserve">Acepta o rechaza funcionalidades dentro del alcance; no modifica el alcance (va al Comité).</t>
  </si>
  <si>
    <t xml:space="preserve">Diseñador/a UX/UI</t>
  </si>
  <si>
    <t xml:space="preserve">28,2 d-p · 2.3 a 2.9 y piloto</t>
  </si>
  <si>
    <t xml:space="preserve">Diseña la web responsive y los flujos del bot de Teams; revisa usabilidad en el piloto y la UAT.</t>
  </si>
  <si>
    <t xml:space="preserve">Decide patrones de interfaz dentro de la guía aprobada en H-2.</t>
  </si>
  <si>
    <t xml:space="preserve">Desarrolladores/as full-stack (2)</t>
  </si>
  <si>
    <t xml:space="preserve">122,0 d-p · 2.3 a 2.9, 5.2, 5.4</t>
  </si>
  <si>
    <t xml:space="preserve">Configuran y extienden WorkHub (escritorios, salas, check-in, notificaciones, bot, web), corrigen defectos del piloto y la estabilización; revisan el código del otro antes de integrar.</t>
  </si>
  <si>
    <t xml:space="preserve">Deciden la solución técnica de cada historia; los cambios de arquitectura se acuerdan con Integraciones y el PO.</t>
  </si>
  <si>
    <t xml:space="preserve">Especialista QA</t>
  </si>
  <si>
    <t xml:space="preserve">50,1 d-p · todo el desarrollo, 3.5, 5.3</t>
  </si>
  <si>
    <t xml:space="preserve">Plan y casos de prueba, regresión, pruebas de integración y carga, coordinación operativa de la UAT y evidencia de aceptación.</t>
  </si>
  <si>
    <t xml:space="preserve">Puede objetar un pase a producción con defectos críticos abiertos; decide el PM.</t>
  </si>
  <si>
    <t xml:space="preserve">Ingenieros/as de integraciones (2)</t>
  </si>
  <si>
    <t xml:space="preserve">71,0 d-p · 3.1 a 3.5</t>
  </si>
  <si>
    <t xml:space="preserve">SSO y SCIM con Entra ID, sincronización del HRIS, Exchange y Teams; endurecimiento y corrección de los hallazgos de la prueba de intrusión.</t>
  </si>
  <si>
    <t xml:space="preserve">Deciden el diseño de las interfaces dentro de las políticas de Tecnología de VCA.</t>
  </si>
  <si>
    <t xml:space="preserve">Ingeniero/a DevOps</t>
  </si>
  <si>
    <t xml:space="preserve">22,6 d-p · 2.2, 5.1, 5.4</t>
  </si>
  <si>
    <t xml:space="preserve">Aprovisiona y opera los ambientes en Azure de VCA, CI/CD y monitoreo; carga el inventario; ejecuta el corte a producción.</t>
  </si>
  <si>
    <t xml:space="preserve">Opera con los permisos que asigna Tecnología de VCA; no crea recursos fuera de la suscripción corporativa.</t>
  </si>
  <si>
    <t xml:space="preserve">Consultor/a de gestión del cambio</t>
  </si>
  <si>
    <t xml:space="preserve">60,0 d-p · 4.1 a 4.5</t>
  </si>
  <si>
    <t xml:space="preserve">Análisis de impacto, política de trabajo flexible, guiones de comunicación, red de referentes y capacitación; coordina a la agencia.</t>
  </si>
  <si>
    <t xml:space="preserve">Propone; RR.HH. de VCA aprueba (A en 4.x).</t>
  </si>
  <si>
    <t xml:space="preserve">Pablo Guzmán (0,5 FTE)</t>
  </si>
  <si>
    <t xml:space="preserve">26,2 d-p · 3.x, 5.x</t>
  </si>
  <si>
    <t xml:space="preserve">Permisos de Entra ID y Teams, nube corporativa, certificación de integraciones (RA-3), mesa de ayuda.</t>
  </si>
  <si>
    <t xml:space="preserve">Rinde cuentas (A) por integraciones y ambientes; firma la certificación de 3.5.</t>
  </si>
  <si>
    <t xml:space="preserve">Damián Sosa (0,5 FTE)</t>
  </si>
  <si>
    <t xml:space="preserve">20,5 d-p · 2.1, 2.2, 5.2, 5.3, 5.6</t>
  </si>
  <si>
    <t xml:space="preserve">Planos e inventario, reglas de uso de espacios, conteos manuales de ocupación e informe de cierre.</t>
  </si>
  <si>
    <t xml:space="preserve">Rinde cuentas por el inventario y el informe de ocupación (RA-4).</t>
  </si>
  <si>
    <t xml:space="preserve">Soledad Ibarra (0,5 FTE; 1,0 desde 01/2027)</t>
  </si>
  <si>
    <t xml:space="preserve">45,0 d-p · 4.x, 5.3, 5.4</t>
  </si>
  <si>
    <t xml:space="preserve">Gestión del cambio con la consultora, referentes, UAT y seguimiento de adopción posterior.</t>
  </si>
  <si>
    <t xml:space="preserve">Rinde cuentas por la gestión del cambio y la UAT (RA-1); firma el acta de UAT.</t>
  </si>
  <si>
    <t xml:space="preserve">Registro de interesados (clasificación por poder e interés)</t>
  </si>
  <si>
    <t xml:space="preserve">La estrategia se deriva del cuadrante; las jefaturas reciben comunicación interactiva por su actitud de resistencia (RI-3).</t>
  </si>
  <si>
    <t xml:space="preserve">Interesado</t>
  </si>
  <si>
    <t xml:space="preserve">Int./Ext.</t>
  </si>
  <si>
    <t xml:space="preserve">Expectativa principal</t>
  </si>
  <si>
    <t xml:space="preserve">Poder</t>
  </si>
  <si>
    <t xml:space="preserve">Interés</t>
  </si>
  <si>
    <t xml:space="preserve">Actitud</t>
  </si>
  <si>
    <t xml:space="preserve">Estrategia</t>
  </si>
  <si>
    <t xml:space="preserve">Cuadrante calculado</t>
  </si>
  <si>
    <t xml:space="preserve">Mariana Ferreyra, CFO (Sponsor)</t>
  </si>
  <si>
    <t xml:space="preserve">Int.</t>
  </si>
  <si>
    <t xml:space="preserve">Evidencia para devolver la planta 4 dentro de USD 420.000 y del 30/04/2027</t>
  </si>
  <si>
    <t xml:space="preserve">Alto</t>
  </si>
  <si>
    <t xml:space="preserve">Apoyo</t>
  </si>
  <si>
    <t xml:space="preserve">Gestionar de cerca</t>
  </si>
  <si>
    <t xml:space="preserve">Comité de Inversiones de VCA</t>
  </si>
  <si>
    <t xml:space="preserve">Retorno del caso de negocio; ningún cambio sin justificar</t>
  </si>
  <si>
    <t xml:space="preserve">Medio</t>
  </si>
  <si>
    <t xml:space="preserve">Neutral</t>
  </si>
  <si>
    <t xml:space="preserve">Mantener satisfecho</t>
  </si>
  <si>
    <t xml:space="preserve">Tecnología de VCA (P. Guzmán)</t>
  </si>
  <si>
    <t xml:space="preserve">Integraciones estables y seguras; no sumar carga operativa</t>
  </si>
  <si>
    <t xml:space="preserve">Servicios Generales (D. Sosa)</t>
  </si>
  <si>
    <t xml:space="preserve">Inventario fiel y datos de ocupación confiables</t>
  </si>
  <si>
    <t xml:space="preserve">RR.HH. (S. Ibarra)</t>
  </si>
  <si>
    <t xml:space="preserve">Adopción sin conflicto; política clara de trabajo flexible</t>
  </si>
  <si>
    <t xml:space="preserve">Seguridad de la Información y Legal de VCA</t>
  </si>
  <si>
    <t xml:space="preserve">Cero hallazgos críticos; tratamiento de datos conforme a la Ley 25.326</t>
  </si>
  <si>
    <t xml:space="preserve">Bajo</t>
  </si>
  <si>
    <t xml:space="preserve">Jefaturas de área</t>
  </si>
  <si>
    <t xml:space="preserve">Que sus equipos se sienten juntos; no perder espacio propio</t>
  </si>
  <si>
    <t xml:space="preserve">Resistencia</t>
  </si>
  <si>
    <t xml:space="preserve">Mantener informado (con reuniones)</t>
  </si>
  <si>
    <t xml:space="preserve">Referentes de área</t>
  </si>
  <si>
    <t xml:space="preserve">Saber usar y explicar la herramienta antes que sus equipos</t>
  </si>
  <si>
    <t xml:space="preserve">Mantener informado</t>
  </si>
  <si>
    <t xml:space="preserve">Colaboradores de Catalinas (1.200)</t>
  </si>
  <si>
    <t xml:space="preserve">Reservar rápido; que la ubicación no se use para controlar presentismo</t>
  </si>
  <si>
    <t xml:space="preserve">Neutral / resistencia</t>
  </si>
  <si>
    <t xml:space="preserve">Dirección de Tandem</t>
  </si>
  <si>
    <t xml:space="preserve">Ext.</t>
  </si>
  <si>
    <t xml:space="preserve">Cumplir el contrato con margen y obtener una referencia</t>
  </si>
  <si>
    <t xml:space="preserve">Proveedores externos (K-5 a K-9)</t>
  </si>
  <si>
    <t xml:space="preserve">Especificaciones claras y pagos en término</t>
  </si>
  <si>
    <t xml:space="preserve">Monitorear</t>
  </si>
  <si>
    <t xml:space="preserve">El cuadrante calculado es la regla general de poder e interés; la estrategia adoptada lo ajusta cuando el interés es medio o alto y el poder medio (gestionar de cerca a quien ejecuta o acepta entregables).</t>
  </si>
  <si>
    <t xml:space="preserve">Plan de gestión de las comunicaciones</t>
  </si>
  <si>
    <t xml:space="preserve">¿Qué? ¿A quién? ¿Para qué? ¿Cómo (push, pull, interactiva)? ¿Cuándo? ¿Quién? Fechas del cronograma de la N2.</t>
  </si>
  <si>
    <t xml:space="preserve">¿Qué?</t>
  </si>
  <si>
    <t xml:space="preserve">¿A quién?</t>
  </si>
  <si>
    <t xml:space="preserve">¿Para qué?</t>
  </si>
  <si>
    <t xml:space="preserve">¿Cómo?</t>
  </si>
  <si>
    <t xml:space="preserve">¿Cuándo?</t>
  </si>
  <si>
    <t xml:space="preserve">¿Quién?</t>
  </si>
  <si>
    <t xml:space="preserve">Canal</t>
  </si>
  <si>
    <t xml:space="preserve">Daily standup</t>
  </si>
  <si>
    <t xml:space="preserve">Equipo de Tandem (PO, UX, DEV, QA, INT, DevOps)</t>
  </si>
  <si>
    <t xml:space="preserve">Avance, plan del día y bloqueos</t>
  </si>
  <si>
    <t xml:space="preserve">Interactiva</t>
  </si>
  <si>
    <t xml:space="preserve">Diaria, 09:15, 15 min</t>
  </si>
  <si>
    <t xml:space="preserve">PO</t>
  </si>
  <si>
    <t xml:space="preserve">Teams (llamada)</t>
  </si>
  <si>
    <t xml:space="preserve">Daily ampliada con VCA</t>
  </si>
  <si>
    <t xml:space="preserve">Equipo + Tecnología, Servicios Generales y RR.HH.</t>
  </si>
  <si>
    <t xml:space="preserve">Incidentes del piloto y de la estabilización</t>
  </si>
  <si>
    <t xml:space="preserve">Diaria durante 5.2 (18/11–18/12) y 5.4 (31/03–28/04)</t>
  </si>
  <si>
    <t xml:space="preserve">Presencial en Catalinas + Teams</t>
  </si>
  <si>
    <t xml:space="preserve">Weekly de implementación</t>
  </si>
  <si>
    <t xml:space="preserve">PM, líderes de frente y referentes de VCA</t>
  </si>
  <si>
    <t xml:space="preserve">Estado, riesgos y acciones; destrabar decisiones</t>
  </si>
  <si>
    <t xml:space="preserve">Interactiva + minuta</t>
  </si>
  <si>
    <t xml:space="preserve">Semanal, lunes 10:00, 45 min</t>
  </si>
  <si>
    <t xml:space="preserve">Teams; minuta en SharePoint</t>
  </si>
  <si>
    <t xml:space="preserve">Reunión técnica de integraciones</t>
  </si>
  <si>
    <t xml:space="preserve">Integraciones, Tecnología VCA, DevOps y QA</t>
  </si>
  <si>
    <t xml:space="preserve">Avance e incidencias de Entra ID, HRIS y Exchange</t>
  </si>
  <si>
    <t xml:space="preserve">Semanal, miércoles, durante 3.1–3.5 (14/10–07/01)</t>
  </si>
  <si>
    <t xml:space="preserve">Líder de integraciones</t>
  </si>
  <si>
    <t xml:space="preserve">Teams</t>
  </si>
  <si>
    <t xml:space="preserve">Demostración de funcionalidades</t>
  </si>
  <si>
    <t xml:space="preserve">PO, Servicios Generales, RR.HH. y Tecnología</t>
  </si>
  <si>
    <t xml:space="preserve">Validar lo construido antes de seguir</t>
  </si>
  <si>
    <t xml:space="preserve">Quincenal, durante 2.3–2.9 (21/10–14/01)</t>
  </si>
  <si>
    <t xml:space="preserve">Ambiente de QA, en sala</t>
  </si>
  <si>
    <t xml:space="preserve">Tablero de trabajo (Jira)</t>
  </si>
  <si>
    <t xml:space="preserve">Equipo del proyecto</t>
  </si>
  <si>
    <t xml:space="preserve">Backlog, tareas, defectos y estado de cada historia</t>
  </si>
  <si>
    <t xml:space="preserve">Pull</t>
  </si>
  <si>
    <t xml:space="preserve">Permanente; se actualiza a diario</t>
  </si>
  <si>
    <t xml:space="preserve">Jira (K-4)</t>
  </si>
  <si>
    <t xml:space="preserve">Repositorio del proyecto</t>
  </si>
  <si>
    <t xml:space="preserve">Equipo e interesados internos autorizados</t>
  </si>
  <si>
    <t xml:space="preserve">Acta, planes, minutas, registro de riesgos y de cambios</t>
  </si>
  <si>
    <t xml:space="preserve">Permanente</t>
  </si>
  <si>
    <t xml:space="preserve">SharePoint del proyecto (Microsoft 365 de VCA)</t>
  </si>
  <si>
    <t xml:space="preserve">Informe de estado semanal</t>
  </si>
  <si>
    <t xml:space="preserve">Sponsor y líderes de VCA</t>
  </si>
  <si>
    <t xml:space="preserve">Avance contra la línea base, semáforo y decisiones requeridas</t>
  </si>
  <si>
    <t xml:space="preserve">Push</t>
  </si>
  <si>
    <t xml:space="preserve">Semanal, viernes</t>
  </si>
  <si>
    <t xml:space="preserve">Correo + tablero de semáforos</t>
  </si>
  <si>
    <t xml:space="preserve">Reunión PM–Sponsor</t>
  </si>
  <si>
    <t xml:space="preserve">Desvíos, uso de contingencia y escalamientos</t>
  </si>
  <si>
    <t xml:space="preserve">Quincenal (N1, 1.9) y ante escalamiento</t>
  </si>
  <si>
    <t xml:space="preserve">Presencial</t>
  </si>
  <si>
    <t xml:space="preserve">Informe al Comité de Inversiones</t>
  </si>
  <si>
    <t xml:space="preserve">Comité de Inversiones</t>
  </si>
  <si>
    <t xml:space="preserve">Avance, costos, reservas, riesgos y cambios a decidir</t>
  </si>
  <si>
    <t xml:space="preserve">Push + presentación</t>
  </si>
  <si>
    <t xml:space="preserve">Mensual (N1, 1.9)</t>
  </si>
  <si>
    <t xml:space="preserve">Sponsor con el PM</t>
  </si>
  <si>
    <t xml:space="preserve">Documento + reunión</t>
  </si>
  <si>
    <t xml:space="preserve">Comité de control de cambios</t>
  </si>
  <si>
    <t xml:space="preserve">Sponsor, PM, PO y referente afectado</t>
  </si>
  <si>
    <t xml:space="preserve">Aprobar, diferir o rechazar solicitudes</t>
  </si>
  <si>
    <t xml:space="preserve">Ante cada solicitud; resolución en 48 h hábiles (N1)</t>
  </si>
  <si>
    <t xml:space="preserve">Reunión + registro de cambios</t>
  </si>
  <si>
    <t xml:space="preserve">C-12</t>
  </si>
  <si>
    <t xml:space="preserve">Evidencia de seguridad y datos</t>
  </si>
  <si>
    <t xml:space="preserve">Seguridad de la Información y Legal</t>
  </si>
  <si>
    <t xml:space="preserve">Informe de intrusión y registro de tratamiento de datos</t>
  </si>
  <si>
    <t xml:space="preserve">Push (documento formal)</t>
  </si>
  <si>
    <t xml:space="preserve">Antes del piloto (18/11) y al cierre de 3.4 (04/12)</t>
  </si>
  <si>
    <t xml:space="preserve">Documento firmado</t>
  </si>
  <si>
    <t xml:space="preserve">C-13</t>
  </si>
  <si>
    <t xml:space="preserve">Briefing a jefaturas</t>
  </si>
  <si>
    <t xml:space="preserve">Política de trabajo flexible, zonas por equipo y uso de los datos</t>
  </si>
  <si>
    <t xml:space="preserve">Antes del piloto (semana del 09/11) y antes del go-live (semana del 08/03)</t>
  </si>
  <si>
    <t xml:space="preserve">RR.HH. con Gestión del cambio</t>
  </si>
  <si>
    <t xml:space="preserve">Reunión por planta</t>
  </si>
  <si>
    <t xml:space="preserve">C-14</t>
  </si>
  <si>
    <t xml:space="preserve">Canal de referentes</t>
  </si>
  <si>
    <t xml:space="preserve">Novedades, dudas frecuentes y materiales</t>
  </si>
  <si>
    <t xml:space="preserve">Interactiva (informal)</t>
  </si>
  <si>
    <t xml:space="preserve">Permanente desde 4.4 (10/11)</t>
  </si>
  <si>
    <t xml:space="preserve">Canal de Teams</t>
  </si>
  <si>
    <t xml:space="preserve">C-15</t>
  </si>
  <si>
    <t xml:space="preserve">Campaña de lanzamiento</t>
  </si>
  <si>
    <t xml:space="preserve">Colaboradores de Catalinas</t>
  </si>
  <si>
    <t xml:space="preserve">Anticipar el cambio, cómo reservar y dónde pedir ayuda</t>
  </si>
  <si>
    <t xml:space="preserve">01/03–30/03/2027 (4.3), con recordatorios</t>
  </si>
  <si>
    <t xml:space="preserve">Correo, Teams, intranet y pantallas</t>
  </si>
  <si>
    <t xml:space="preserve">C-16</t>
  </si>
  <si>
    <t xml:space="preserve">Seguimiento de proveedores</t>
  </si>
  <si>
    <t xml:space="preserve">Proveedores de K-5 a K-9</t>
  </si>
  <si>
    <t xml:space="preserve">Alcance, entregas y aceptación</t>
  </si>
  <si>
    <t xml:space="preserve">Reunión de inicio de cada contrato y semanal mientras dure</t>
  </si>
  <si>
    <t xml:space="preserve">Teams + correo</t>
  </si>
  <si>
    <t xml:space="preserve">C-17</t>
  </si>
  <si>
    <t xml:space="preserve">Sponsor, equipo completo y referentes de VCA</t>
  </si>
  <si>
    <t xml:space="preserve">Aceptación final y lecciones registradas</t>
  </si>
  <si>
    <t xml:space="preserve">Una vez, 26–30/04/2027 (1.6)</t>
  </si>
  <si>
    <t xml:space="preserve">Escalamiento</t>
  </si>
  <si>
    <t xml:space="preserve">Nivel</t>
  </si>
  <si>
    <t xml:space="preserve">Quién resuelve</t>
  </si>
  <si>
    <t xml:space="preserve">Qué se escala</t>
  </si>
  <si>
    <t xml:space="preserve">1</t>
  </si>
  <si>
    <t xml:space="preserve">Líder del frente</t>
  </si>
  <si>
    <t xml:space="preserve">1 día hábil</t>
  </si>
  <si>
    <t xml:space="preserve">Problemas de su frente sin impacto en hitos ni costo.</t>
  </si>
  <si>
    <t xml:space="preserve">2</t>
  </si>
  <si>
    <t xml:space="preserve">2 días hábiles</t>
  </si>
  <si>
    <t xml:space="preserve">Reordenar tareas dentro del alcance; contingencia hasta USD 5.000 por evento.</t>
  </si>
  <si>
    <t xml:space="preserve">3</t>
  </si>
  <si>
    <t xml:space="preserve">48 horas hábiles (reunión extraordinaria)</t>
  </si>
  <si>
    <t xml:space="preserve">Riesgo sobre un hito del Acta o contingencia mayor a USD 5.000 por evento.</t>
  </si>
  <si>
    <t xml:space="preserve">4</t>
  </si>
  <si>
    <t xml:space="preserve">Próxima sesión o extraordinaria</t>
  </si>
  <si>
    <t xml:space="preserve">Cambios de alcance, presupuesto base o fecha de cierre; impacto de costo mayor al 5 % (se escala de inmediato).</t>
  </si>
  <si>
    <t xml:space="preserve">Agendas de ejemplo</t>
  </si>
  <si>
    <t xml:space="preserve">Weekly de implementación (C-3) — Lunes 10:00 · 45 min · PM facilita, PO toma la minuta</t>
  </si>
  <si>
    <t xml:space="preserve">5 min</t>
  </si>
  <si>
    <t xml:space="preserve">Acciones abiertas de la minuta anterior</t>
  </si>
  <si>
    <t xml:space="preserve">10 min</t>
  </si>
  <si>
    <t xml:space="preserve">Avance por frente contra el cronograma (camino crítico y ruta del piloto primero)</t>
  </si>
  <si>
    <t xml:space="preserve">Riesgos: nuevos, cambios de prioridad y disparadores</t>
  </si>
  <si>
    <t xml:space="preserve">Bloqueos y decisiones que necesitan a VCA</t>
  </si>
  <si>
    <t xml:space="preserve">Solicitudes de cambio para el comité</t>
  </si>
  <si>
    <t xml:space="preserve">Acciones, responsables y fechas; cierre</t>
  </si>
  <si>
    <t xml:space="preserve">45 min</t>
  </si>
  <si>
    <t xml:space="preserve">Daily standup (C-1) — Diaria 09:15 · 15 min · PO facilita</t>
  </si>
  <si>
    <t xml:space="preserve">Cada integrante: qué terminó, qué hace hoy, qué lo bloquea</t>
  </si>
  <si>
    <t xml:space="preserve">3 min</t>
  </si>
  <si>
    <t xml:space="preserve">Revisión del tablero: tarjetas detenidas más de 2 días</t>
  </si>
  <si>
    <t xml:space="preserve">2 min</t>
  </si>
  <si>
    <t xml:space="preserve">Bloqueos que se resuelven después, solo con los involucrados</t>
  </si>
  <si>
    <t xml:space="preserve">15 min</t>
  </si>
  <si>
    <t xml:space="preserve">Reunión técnica de integraciones (C-4) — Miércoles · 60 min · Líder de integraciones facilita</t>
  </si>
  <si>
    <t xml:space="preserve">Estado de cada conector (Entra ID, HRIS, Exchange/Teams) frente a su criterio de aceptación</t>
  </si>
  <si>
    <t xml:space="preserve">20 min</t>
  </si>
  <si>
    <t xml:space="preserve">Incidencias abiertas: causa, responsable y plan</t>
  </si>
  <si>
    <t xml:space="preserve">Permisos, ventanas de cambio y accesos que debe habilitar Tecnología de VCA</t>
  </si>
  <si>
    <t xml:space="preserve">Datos de prueba, ambientes y preparación de 3.4 y 3.5</t>
  </si>
  <si>
    <t xml:space="preserve">Acciones y responsables</t>
  </si>
  <si>
    <t xml:space="preserve">60 min</t>
  </si>
  <si>
    <t xml:space="preserve">Reunión PM–Sponsor (C-9) — Quincenal · 30 min · PM presenta</t>
  </si>
  <si>
    <t xml:space="preserve">Semáforo de alcance, plazo y costo, con lectura explícita</t>
  </si>
  <si>
    <t xml:space="preserve">Hitos próximos y ruta sensible (piloto contra H-3; UAT contra H-5)</t>
  </si>
  <si>
    <t xml:space="preserve">Contingencia usada, riesgos altos y decisiones pedidas</t>
  </si>
  <si>
    <t xml:space="preserve">Temas para el Comité de Inversiones</t>
  </si>
  <si>
    <t xml:space="preserve">30 min</t>
  </si>
  <si>
    <t xml:space="preserve">Plantilla estandarizada de minuta</t>
  </si>
  <si>
    <t xml:space="preserve">Columna B: plantilla para completar. Columna D: ejemplo ilustrativo resuelto (no es un registro real).</t>
  </si>
  <si>
    <t xml:space="preserve">Campo</t>
  </si>
  <si>
    <t xml:space="preserve">Plantilla</t>
  </si>
  <si>
    <t xml:space="preserve">Ejemplo ilustrativo</t>
  </si>
  <si>
    <t xml:space="preserve">Encabezado</t>
  </si>
  <si>
    <t xml:space="preserve">Proyecto WKH-2026 · reunión (ID del plan) · número · fecha y hora · canal · facilitador · redactor</t>
  </si>
  <si>
    <t xml:space="preserve">WKH-2026 · Weekly de implementación (C-3) n.º 2 · martes 13/10/2026 10:00 (lunes feriado) · Teams · facilita J. Ferrari · redacta C. Méndez</t>
  </si>
  <si>
    <t xml:space="preserve">Asistentes y ausentes</t>
  </si>
  <si>
    <t xml:space="preserve">Nombre y rol; ausentes con aviso</t>
  </si>
  <si>
    <t xml:space="preserve">Ferrari (PM), Méndez (PO), líder de integraciones, Guzmán (Tecnología), Sosa (Servicios Generales), Ibarra (RR.HH.). Ausente con aviso: DevOps.</t>
  </si>
  <si>
    <t xml:space="preserve">Objetivo</t>
  </si>
  <si>
    <t xml:space="preserve">Qué decisión o resultado se esperaba</t>
  </si>
  <si>
    <t xml:space="preserve">Confirmar el arranque de 2.1, 3.1 y 5.1 y las compras con fecha próxima.</t>
  </si>
  <si>
    <t xml:space="preserve">Temas tratados</t>
  </si>
  <si>
    <t xml:space="preserve">Una línea por punto de la agenda, con el tiempo usado</t>
  </si>
  <si>
    <t xml:space="preserve">Acciones anteriores (5 min) · avance de 1.2–1.4 (10) · riesgos RI-6 y RI-16 (10) · accesos a Entra ID (10) · cambios (0) · cierre (5).</t>
  </si>
  <si>
    <t xml:space="preserve">Decisiones</t>
  </si>
  <si>
    <t xml:space="preserve">ID (D-n) · decisión · quién decide (A de la RACIS)</t>
  </si>
  <si>
    <t xml:space="preserve">D-1: pedir cotizaciones de K-5 y K-6 el 19/10 (A: Sponsor, a propuesta del PM). D-2: las reglas de cupos por equipo se cierran en la primera semana de 2.1 (A: PO).</t>
  </si>
  <si>
    <t xml:space="preserve">Acciones</t>
  </si>
  <si>
    <t xml:space="preserve">ID (AC-n) · acción · responsable · fecha compromiso · estado</t>
  </si>
  <si>
    <t xml:space="preserve">AC-1 Solicitar la ampliación de la suscripción Azure · Guzmán · 14/10 · abierta. AC-2 Enviar reglas de cupos por planta · Sosa · 20/10 · abierta. AC-3 Gestionar sandbox del HRIS · PM · 23/10 · abierta.</t>
  </si>
  <si>
    <t xml:space="preserve">Riesgos y cambios</t>
  </si>
  <si>
    <t xml:space="preserve">Riesgos nuevos o modificados (ID RI-n) y solicitudes de cambio generadas</t>
  </si>
  <si>
    <t xml:space="preserve">RI-6 se mantiene en prioridad media; sin solicitudes de cambio.</t>
  </si>
  <si>
    <t xml:space="preserve">Próxima reunión</t>
  </si>
  <si>
    <t xml:space="preserve">Fecha y temas pendientes</t>
  </si>
  <si>
    <t xml:space="preserve">Lunes 19/10/2026 10:00 · revisar AC-1 a AC-3 y el inicio de 2.3 (21/10).</t>
  </si>
  <si>
    <t xml:space="preserve">Distribución</t>
  </si>
  <si>
    <t xml:space="preserve">Se publica en el repositorio (C-7) dentro de las 24 horas; observaciones dentro de las 48 horas</t>
  </si>
  <si>
    <t xml:space="preserve">Publicada en el SharePoint del proyecto el 13/10 a las 16:00.</t>
  </si>
  <si>
    <t xml:space="preserve">Decisión</t>
  </si>
  <si>
    <t xml:space="preserve">Decide (A)</t>
  </si>
  <si>
    <t xml:space="preserve">D-1</t>
  </si>
  <si>
    <t xml:space="preserve">D-2</t>
  </si>
  <si>
    <t xml:space="preserve">D-3</t>
  </si>
  <si>
    <t xml:space="preserve">Acción</t>
  </si>
  <si>
    <t xml:space="preserve">Responsable</t>
  </si>
  <si>
    <t xml:space="preserve">Fecha compromiso</t>
  </si>
  <si>
    <t xml:space="preserve">Estado</t>
  </si>
  <si>
    <t xml:space="preserve">AC-1</t>
  </si>
  <si>
    <t xml:space="preserve">AC-2</t>
  </si>
  <si>
    <t xml:space="preserve">AC-3</t>
  </si>
  <si>
    <t xml:space="preserve">AC-4</t>
  </si>
  <si>
    <t xml:space="preserve">AC-5</t>
  </si>
  <si>
    <t xml:space="preserve">AC-6</t>
  </si>
  <si>
    <t xml:space="preserve">Registro preliminar de riesgos (análisis cualitativo)</t>
  </si>
  <si>
    <t xml:space="preserve">Causa → riesgo → impacto. Prioridad preliminar Alta/Media/Baja. En la N4 se agregan probabilidad e impacto (1 a 5), respuestas, disparadores y monitoreo.</t>
  </si>
  <si>
    <t xml:space="preserve">Categoría</t>
  </si>
  <si>
    <t xml:space="preserve">Causa</t>
  </si>
  <si>
    <t xml:space="preserve">Riesgo (evento)</t>
  </si>
  <si>
    <t xml:space="preserve">Impacto inicial</t>
  </si>
  <si>
    <t xml:space="preserve">Objetivo afectado</t>
  </si>
  <si>
    <t xml:space="preserve">Paquetes EDT</t>
  </si>
  <si>
    <t xml:space="preserve">Prioridad preliminar</t>
  </si>
  <si>
    <t xml:space="preserve">Dueño preliminar</t>
  </si>
  <si>
    <t xml:space="preserve">Origen</t>
  </si>
  <si>
    <t xml:space="preserve">RI-1</t>
  </si>
  <si>
    <t xml:space="preserve">Software / operación</t>
  </si>
  <si>
    <t xml:space="preserve">Usuarios que no hacen check-in o check-out; geocerca imprecisa en algunas plantas</t>
  </si>
  <si>
    <t xml:space="preserve">El registro de ocupación no refleja el uso real</t>
  </si>
  <si>
    <t xml:space="preserve">Discrepancia mayor al 5 % en el informe (RA-4): la evidencia para devolver la planta 4 pierde validez</t>
  </si>
  <si>
    <t xml:space="preserve">Beneficio, calidad</t>
  </si>
  <si>
    <t xml:space="preserve">2.5, 5.4, 5.6</t>
  </si>
  <si>
    <t xml:space="preserve">Alta</t>
  </si>
  <si>
    <t xml:space="preserve">PO / Serv. Generales</t>
  </si>
  <si>
    <t xml:space="preserve">N1 (Alto/Media)</t>
  </si>
  <si>
    <t xml:space="preserve">RI-2</t>
  </si>
  <si>
    <t xml:space="preserve">Software (integración)</t>
  </si>
  <si>
    <t xml:space="preserve">Permisos de Entra ID, API del HRIS menos estable que lo supuesto (S-6), límites de Microsoft Graph</t>
  </si>
  <si>
    <t xml:space="preserve">Demoras o incompatibilidades en las integraciones</t>
  </si>
  <si>
    <t xml:space="preserve">Atraso y retrabajo en 3.1–3.3; si consume la holgura, alcanza al piloto (5.2 depende de 3.1)</t>
  </si>
  <si>
    <t xml:space="preserve">Plazo, costo</t>
  </si>
  <si>
    <t xml:space="preserve">3.1–3.5, 5.2</t>
  </si>
  <si>
    <t xml:space="preserve">Media</t>
  </si>
  <si>
    <t xml:space="preserve">N1 (Medio/Media)</t>
  </si>
  <si>
    <t xml:space="preserve">RI-3</t>
  </si>
  <si>
    <t xml:space="preserve">Operación (cambio)</t>
  </si>
  <si>
    <t xml:space="preserve">Pérdida del puesto fijo; temor a que la ubicación se use para controlar presentismo</t>
  </si>
  <si>
    <t xml:space="preserve">Resistencia al escritorio flexible</t>
  </si>
  <si>
    <t xml:space="preserve">Baja adopción (meta OP-3 del 70 %), puntaje de UAT menor a 9,0 y datos insuficientes para la decisión</t>
  </si>
  <si>
    <t xml:space="preserve">Beneficio, alcance</t>
  </si>
  <si>
    <t xml:space="preserve">4.1–4.5, 5.3</t>
  </si>
  <si>
    <t xml:space="preserve">N1 (Alto/Alta)</t>
  </si>
  <si>
    <t xml:space="preserve">RI-4</t>
  </si>
  <si>
    <t xml:space="preserve">Negocio</t>
  </si>
  <si>
    <t xml:space="preserve">Demanda pico mayor a la supuesta o cláusulas del contrato de alquiler</t>
  </si>
  <si>
    <t xml:space="preserve">No se puede liberar la planta 4</t>
  </si>
  <si>
    <t xml:space="preserve">El caso de negocio no se cumple aunque el proyecto termine bien</t>
  </si>
  <si>
    <t xml:space="preserve">Beneficio</t>
  </si>
  <si>
    <t xml:space="preserve">Sponsor / Serv. Generales</t>
  </si>
  <si>
    <t xml:space="preserve">N1 (Alto/Baja)</t>
  </si>
  <si>
    <t xml:space="preserve">RI-5</t>
  </si>
  <si>
    <t xml:space="preserve">Externo</t>
  </si>
  <si>
    <t xml:space="preserve">El cierre de balances de VCA se extiende después del 15/03</t>
  </si>
  <si>
    <t xml:space="preserve">La UAT no puede empezar el 16/03</t>
  </si>
  <si>
    <t xml:space="preserve">R-3 está en el camino crítico: cada día de extensión corre H-5, H-6 y el cierre del 30/04</t>
  </si>
  <si>
    <t xml:space="preserve">5.3, 5.4, 1.6</t>
  </si>
  <si>
    <t xml:space="preserve">N1 (Medio/Media); sube por el camino crítico</t>
  </si>
  <si>
    <t xml:space="preserve">RI-6</t>
  </si>
  <si>
    <t xml:space="preserve">Software</t>
  </si>
  <si>
    <t xml:space="preserve">El módulo de escritorios arranca con 2.1 en curso (solape SS+5)</t>
  </si>
  <si>
    <t xml:space="preserve">Las reglas de reserva cambian después de empezar 2.3</t>
  </si>
  <si>
    <t xml:space="preserve">Retrabajo en 2.3 (holgura 10 d); más de 8 días comprometen el piloto y H-3</t>
  </si>
  <si>
    <t xml:space="preserve">2.1, 2.3, 5.2</t>
  </si>
  <si>
    <t xml:space="preserve">Nuevo (red N2)</t>
  </si>
  <si>
    <t xml:space="preserve">RI-7</t>
  </si>
  <si>
    <t xml:space="preserve">Operación</t>
  </si>
  <si>
    <t xml:space="preserve">Piloto en diciembre con 300 usuarios (feriados del 07 y 08/12, vacaciones, cierre de año)</t>
  </si>
  <si>
    <t xml:space="preserve">El piloto no se completa a tiempo</t>
  </si>
  <si>
    <t xml:space="preserve">H-3 tiene 1 día corrido de margen; correr el piloto a enero lo mete en la ventana de balances</t>
  </si>
  <si>
    <t xml:space="preserve">Plazo, calidad</t>
  </si>
  <si>
    <t xml:space="preserve">RI-8</t>
  </si>
  <si>
    <t xml:space="preserve">UAT de 4 días con 120 usuarios, inmediatamente después del cierre de balances</t>
  </si>
  <si>
    <t xml:space="preserve">Sesiones incompletas o puntaje menor a 9,0</t>
  </si>
  <si>
    <t xml:space="preserve">H-5 incumplido; en el camino crítico, cada día corre el go-live y el cierre</t>
  </si>
  <si>
    <t xml:space="preserve">5.3, 5.4</t>
  </si>
  <si>
    <t xml:space="preserve">RR.HH. VCA / QA</t>
  </si>
  <si>
    <t xml:space="preserve">RI-9</t>
  </si>
  <si>
    <t xml:space="preserve">Software (seguridad)</t>
  </si>
  <si>
    <t xml:space="preserve">Vulnerabilidades en la configuración, las extensiones o el bot</t>
  </si>
  <si>
    <t xml:space="preserve">Hallazgos críticos o altos en la prueba de intrusión</t>
  </si>
  <si>
    <t xml:space="preserve">RA-2 no se cumple hasta cerrarlos; retrabajo y re-test (3.4 tiene 53 d de holgura)</t>
  </si>
  <si>
    <t xml:space="preserve">Calidad, costo</t>
  </si>
  <si>
    <t xml:space="preserve">3.4, 2.8, 2.9</t>
  </si>
  <si>
    <t xml:space="preserve">Seg. de la Información / Integraciones</t>
  </si>
  <si>
    <t xml:space="preserve">Nuevo</t>
  </si>
  <si>
    <t xml:space="preserve">RI-10</t>
  </si>
  <si>
    <t xml:space="preserve">Software (rendimiento)</t>
  </si>
  <si>
    <t xml:space="preserve">Dimensionamiento de ambientes; consultas de disponibilidad sobre planos en los picos de los lunes</t>
  </si>
  <si>
    <t xml:space="preserve">No se alcanza p95 &lt; 500 ms con 300 usuarios concurrentes (CE-3)</t>
  </si>
  <si>
    <t xml:space="preserve">Ajustes de configuración, escalado en Azure con más costo de ambientes y criterio de éxito en riesgo</t>
  </si>
  <si>
    <t xml:space="preserve">3.5, 5.1, 5.4</t>
  </si>
  <si>
    <t xml:space="preserve">RI-11</t>
  </si>
  <si>
    <t xml:space="preserve">Datos</t>
  </si>
  <si>
    <t xml:space="preserve">Registros desactualizados en el HRIS o planos que no reflejan los puestos reales</t>
  </si>
  <si>
    <t xml:space="preserve">Errores de sincronización mayores al 0,5 % o discrepancia de inventario mayor al 1 %</t>
  </si>
  <si>
    <t xml:space="preserve">Usuarios sin acceso, reservas sobre puestos inexistentes y rechazo de los entregables 2.0 y 3.0</t>
  </si>
  <si>
    <t xml:space="preserve">Calidad, plazo</t>
  </si>
  <si>
    <t xml:space="preserve">2.2, 3.2</t>
  </si>
  <si>
    <t xml:space="preserve">Tecnología / Serv. Generales</t>
  </si>
  <si>
    <t xml:space="preserve">RI-12</t>
  </si>
  <si>
    <t xml:space="preserve">Sincronización bidireccional con Exchange (reservas simultáneas en Outlook y WorkHub, salas con delegados)</t>
  </si>
  <si>
    <t xml:space="preserve">Reservas dobles de salas</t>
  </si>
  <si>
    <t xml:space="preserve">Incumple CE-2 (cero solapamientos) y erosiona la confianza de los usuarios</t>
  </si>
  <si>
    <t xml:space="preserve">Calidad</t>
  </si>
  <si>
    <t xml:space="preserve">2.4, 3.3</t>
  </si>
  <si>
    <t xml:space="preserve">Integraciones</t>
  </si>
  <si>
    <t xml:space="preserve">RI-13</t>
  </si>
  <si>
    <t xml:space="preserve">Operación (recursos)</t>
  </si>
  <si>
    <t xml:space="preserve">VCA aporta como máximo 0,5 FTE por área (R-6) con tareas operativas; rotación en Tandem</t>
  </si>
  <si>
    <t xml:space="preserve">Recursos clave no disponibles en tareas críticas</t>
  </si>
  <si>
    <t xml:space="preserve">Validaciones demoradas (2.1, 5.3) y pérdida de conocimiento</t>
  </si>
  <si>
    <t xml:space="preserve">2.1, 5.2, 5.3</t>
  </si>
  <si>
    <t xml:space="preserve">RI-14</t>
  </si>
  <si>
    <t xml:space="preserve">Legal / datos</t>
  </si>
  <si>
    <t xml:space="preserve">El check-in por geocerca usa la ubicación del teléfono (Ley 25.326, R-4)</t>
  </si>
  <si>
    <t xml:space="preserve">Legal o Seguridad objetan la geocerca</t>
  </si>
  <si>
    <t xml:space="preserve">Solicitud de cambio para dejar solo QR; ajuste de 2.5 y de la comunicación</t>
  </si>
  <si>
    <t xml:space="preserve">Alcance, plazo</t>
  </si>
  <si>
    <t xml:space="preserve">2.5, 4.2</t>
  </si>
  <si>
    <t xml:space="preserve">Seg. de la Información / RR.HH.</t>
  </si>
  <si>
    <t xml:space="preserve">RI-15</t>
  </si>
  <si>
    <t xml:space="preserve">Software (proveedor)</t>
  </si>
  <si>
    <t xml:space="preserve">Tandem publica una nueva versión de WorkHub o cambia la API del bot durante el proyecto</t>
  </si>
  <si>
    <t xml:space="preserve">Regresiones en la configuración o las integraciones</t>
  </si>
  <si>
    <t xml:space="preserve">Retrabajo y nueva regresión; si ocurre en marzo, alcanza el camino crítico</t>
  </si>
  <si>
    <t xml:space="preserve">2.x, 3.x, 5.4</t>
  </si>
  <si>
    <t xml:space="preserve">Baja</t>
  </si>
  <si>
    <t xml:space="preserve">RI-16</t>
  </si>
  <si>
    <t xml:space="preserve">Adquisiciones</t>
  </si>
  <si>
    <t xml:space="preserve">Plazos de cotización, revisión legal y firma de los contratos K-5 a K-7</t>
  </si>
  <si>
    <t xml:space="preserve">Contratos adjudicados tarde</t>
  </si>
  <si>
    <t xml:space="preserve">Sin sandbox el 30/10 se frenan 3.2 y 3.3; sin proveedor el 13/11 se demora la prueba de intrusión</t>
  </si>
  <si>
    <t xml:space="preserve">3.2–3.4, 4.4</t>
  </si>
  <si>
    <t xml:space="preserve">RI-17</t>
  </si>
  <si>
    <t xml:space="preserve">Corte a producción en las cuatro plantas el mismo día y mesa de ayuda recién formada</t>
  </si>
  <si>
    <t xml:space="preserve">Los incidentes de la primera semana superan la capacidad de soporte</t>
  </si>
  <si>
    <t xml:space="preserve">Adopción inicial baja, disponibilidad menor al 99,5 % y estabilización (crítica) extendida</t>
  </si>
  <si>
    <t xml:space="preserve">4.5, 5.4</t>
  </si>
  <si>
    <t xml:space="preserve">DevOps / Tecnología VCA</t>
  </si>
  <si>
    <t xml:space="preserve">Resumen por prioridad</t>
  </si>
  <si>
    <t xml:space="preserve">Prioridad</t>
  </si>
  <si>
    <t xml:space="preserve">Cantidad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</si>
</sst>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;\(#,##0\);\-"/>
    <numFmt numFmtId="167" formatCode="0%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B5E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name val="0.0%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3B5E"/>
        <bgColor rgb="FF333333"/>
      </patternFill>
    </fill>
    <fill>
      <patternFill patternType="solid">
        <fgColor rgb="FFDCE6F0"/>
        <bgColor rgb="FFE3EEF9"/>
      </patternFill>
    </fill>
    <fill>
      <patternFill patternType="solid">
        <fgColor rgb="FF0F7C7A"/>
        <bgColor rgb="FF008080"/>
      </patternFill>
    </fill>
    <fill>
      <patternFill patternType="solid">
        <fgColor rgb="FF7A829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0F7C7A"/>
      </font>
    </dxf>
    <dxf>
      <fill>
        <patternFill>
          <bgColor rgb="FFFCE4EC"/>
        </patternFill>
      </fill>
    </dxf>
    <dxf>
      <fill>
        <patternFill>
          <bgColor rgb="FFE3EEF9"/>
        </patternFill>
      </fill>
    </dxf>
    <dxf>
      <font>
        <b val="1"/>
        <color rgb="FFC00000"/>
      </font>
    </dxf>
    <dxf>
      <font>
        <b val="1"/>
        <color rgb="FFC2185B"/>
      </font>
      <fill>
        <patternFill>
          <bgColor rgb="FFFCE4E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C7A"/>
      <rgbColor rgb="FFBFBFBF"/>
      <rgbColor rgb="FF7A8290"/>
      <rgbColor rgb="FF9999FF"/>
      <rgbColor rgb="FFC2185B"/>
      <rgbColor rgb="FFFCE4EC"/>
      <rgbColor rgb="FFE3EE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23B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8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COUNTA('Hacer o comprar'!A7:A17)</f>
        <v>11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COUNTIF('Hacer o comprar'!P7:P17,"Comprar*")</f>
        <v>7</v>
      </c>
      <c r="C6" s="6" t="s">
        <v>6</v>
      </c>
    </row>
    <row r="7" customFormat="false" ht="15" hidden="false" customHeight="false" outlineLevel="0" collapsed="false">
      <c r="A7" s="4" t="s">
        <v>8</v>
      </c>
      <c r="B7" s="5" t="n">
        <f aca="false">COUNTIF('Hacer o comprar'!P7:P17,"Hacer*")</f>
        <v>4</v>
      </c>
      <c r="C7" s="6" t="s">
        <v>6</v>
      </c>
    </row>
    <row r="8" customFormat="false" ht="15" hidden="false" customHeight="false" outlineLevel="0" collapsed="false">
      <c r="A8" s="4" t="s">
        <v>9</v>
      </c>
      <c r="B8" s="5" t="str">
        <f aca="false">'Hacer o comprar'!B19</f>
        <v>OK: pesos 100 % y decisiones coherentes con el puntaje</v>
      </c>
      <c r="C8" s="6" t="s">
        <v>6</v>
      </c>
    </row>
    <row r="9" customFormat="false" ht="15" hidden="false" customHeight="false" outlineLevel="0" collapsed="false">
      <c r="A9" s="4" t="s">
        <v>10</v>
      </c>
      <c r="B9" s="5" t="n">
        <f aca="false">COUNTA(Contratos!A5:A13)</f>
        <v>9</v>
      </c>
      <c r="C9" s="6" t="s">
        <v>10</v>
      </c>
    </row>
    <row r="10" customFormat="false" ht="15" hidden="false" customHeight="false" outlineLevel="0" collapsed="false">
      <c r="A10" s="4" t="s">
        <v>11</v>
      </c>
      <c r="B10" s="7" t="n">
        <f aca="false">Contratos!F14</f>
        <v>353662</v>
      </c>
      <c r="C10" s="6" t="s">
        <v>10</v>
      </c>
    </row>
    <row r="11" customFormat="false" ht="15" hidden="false" customHeight="false" outlineLevel="0" collapsed="false">
      <c r="A11" s="4" t="s">
        <v>12</v>
      </c>
      <c r="B11" s="5" t="str">
        <f aca="false">Contratos!F17</f>
        <v>OK: igual al costo base de la N2</v>
      </c>
      <c r="C11" s="6" t="s">
        <v>10</v>
      </c>
    </row>
    <row r="12" customFormat="false" ht="15" hidden="false" customHeight="false" outlineLevel="0" collapsed="false">
      <c r="A12" s="4" t="s">
        <v>13</v>
      </c>
      <c r="B12" s="5" t="n">
        <f aca="false">COUNTA(RACIS!A6:A36)</f>
        <v>31</v>
      </c>
      <c r="C12" s="6" t="s">
        <v>14</v>
      </c>
    </row>
    <row r="13" customFormat="false" ht="15" hidden="false" customHeight="false" outlineLevel="0" collapsed="false">
      <c r="A13" s="4" t="s">
        <v>15</v>
      </c>
      <c r="B13" s="5" t="str">
        <f aca="false">RACIS!C41</f>
        <v>OK: 31 filas con un A y al menos un R</v>
      </c>
      <c r="C13" s="6" t="s">
        <v>14</v>
      </c>
    </row>
    <row r="14" customFormat="false" ht="15" hidden="false" customHeight="false" outlineLevel="0" collapsed="false">
      <c r="A14" s="4" t="s">
        <v>16</v>
      </c>
      <c r="B14" s="5" t="n">
        <f aca="false">COUNTA(Interesados!A5:A15)</f>
        <v>11</v>
      </c>
      <c r="C14" s="6" t="s">
        <v>17</v>
      </c>
    </row>
    <row r="15" customFormat="false" ht="15" hidden="false" customHeight="false" outlineLevel="0" collapsed="false">
      <c r="A15" s="4" t="s">
        <v>18</v>
      </c>
      <c r="B15" s="5" t="n">
        <f aca="false">COUNTA(Comunicaciones!A5:A21)</f>
        <v>17</v>
      </c>
      <c r="C15" s="6" t="s">
        <v>19</v>
      </c>
    </row>
    <row r="16" customFormat="false" ht="15" hidden="false" customHeight="false" outlineLevel="0" collapsed="false">
      <c r="A16" s="4" t="s">
        <v>20</v>
      </c>
      <c r="B16" s="5" t="n">
        <f aca="false">COUNTA(Riesgos!A5:A21)</f>
        <v>17</v>
      </c>
      <c r="C16" s="6" t="s">
        <v>21</v>
      </c>
    </row>
    <row r="17" customFormat="false" ht="15" hidden="false" customHeight="false" outlineLevel="0" collapsed="false">
      <c r="A17" s="4" t="s">
        <v>22</v>
      </c>
      <c r="B17" s="5" t="n">
        <f aca="false">COUNTIF(Riesgos!H5:H21,"Alta")</f>
        <v>5</v>
      </c>
      <c r="C17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12" min="3" style="0" width="9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8" min="17" style="0" width="34"/>
    <col collapsed="false" customWidth="true" hidden="false" outlineLevel="0" max="19" min="19" style="0" width="52"/>
    <col collapsed="false" customWidth="true" hidden="false" outlineLevel="0" max="20" min="20" style="0" width="16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57.45" hidden="false" customHeight="false" outlineLevel="0" collapsed="false">
      <c r="A4" s="8" t="s">
        <v>25</v>
      </c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26</v>
      </c>
      <c r="I4" s="9" t="s">
        <v>27</v>
      </c>
      <c r="J4" s="9" t="s">
        <v>28</v>
      </c>
      <c r="K4" s="9" t="s">
        <v>29</v>
      </c>
      <c r="L4" s="9" t="s">
        <v>30</v>
      </c>
    </row>
    <row r="5" customFormat="false" ht="15" hidden="false" customHeight="false" outlineLevel="0" collapsed="false">
      <c r="A5" s="4" t="s">
        <v>31</v>
      </c>
      <c r="B5" s="10" t="n">
        <f aca="false">SUM(C5:G5)</f>
        <v>1</v>
      </c>
      <c r="C5" s="11" t="n">
        <v>0.3</v>
      </c>
      <c r="D5" s="11" t="n">
        <v>0.25</v>
      </c>
      <c r="E5" s="11" t="n">
        <v>0.2</v>
      </c>
      <c r="F5" s="11" t="n">
        <v>0.15</v>
      </c>
      <c r="G5" s="11" t="n">
        <v>0.1</v>
      </c>
      <c r="H5" s="10" t="n">
        <f aca="false">C5</f>
        <v>0.3</v>
      </c>
      <c r="I5" s="10" t="n">
        <f aca="false">D5</f>
        <v>0.25</v>
      </c>
      <c r="J5" s="10" t="n">
        <f aca="false">E5</f>
        <v>0.2</v>
      </c>
      <c r="K5" s="10" t="n">
        <f aca="false">F5</f>
        <v>0.15</v>
      </c>
      <c r="L5" s="10" t="n">
        <f aca="false">G5</f>
        <v>0.1</v>
      </c>
    </row>
    <row r="6" customFormat="false" ht="79.85" hidden="false" customHeight="false" outlineLevel="0" collapsed="false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40</v>
      </c>
      <c r="J6" s="3" t="s">
        <v>41</v>
      </c>
      <c r="K6" s="3" t="s">
        <v>42</v>
      </c>
      <c r="L6" s="3" t="s">
        <v>43</v>
      </c>
      <c r="M6" s="3" t="s">
        <v>44</v>
      </c>
      <c r="N6" s="3" t="s">
        <v>45</v>
      </c>
      <c r="O6" s="3" t="s">
        <v>46</v>
      </c>
      <c r="P6" s="3" t="s">
        <v>47</v>
      </c>
      <c r="Q6" s="3" t="s">
        <v>48</v>
      </c>
      <c r="R6" s="3" t="s">
        <v>49</v>
      </c>
      <c r="S6" s="3" t="s">
        <v>50</v>
      </c>
      <c r="T6" s="3" t="s">
        <v>51</v>
      </c>
    </row>
    <row r="7" customFormat="false" ht="48" hidden="false" customHeight="true" outlineLevel="0" collapsed="false">
      <c r="A7" s="4" t="s">
        <v>52</v>
      </c>
      <c r="B7" s="6" t="s">
        <v>53</v>
      </c>
      <c r="C7" s="12" t="n">
        <v>1</v>
      </c>
      <c r="D7" s="12" t="n">
        <v>1</v>
      </c>
      <c r="E7" s="12" t="n">
        <v>2</v>
      </c>
      <c r="F7" s="12" t="n">
        <v>2</v>
      </c>
      <c r="G7" s="12" t="n">
        <v>5</v>
      </c>
      <c r="H7" s="12" t="n">
        <v>4</v>
      </c>
      <c r="I7" s="12" t="n">
        <v>5</v>
      </c>
      <c r="J7" s="12" t="n">
        <v>4</v>
      </c>
      <c r="K7" s="12" t="n">
        <v>4</v>
      </c>
      <c r="L7" s="12" t="n">
        <v>3</v>
      </c>
      <c r="M7" s="13" t="n">
        <f aca="false">SUMPRODUCT(C7:G7,$C$5:$G$5)</f>
        <v>1.75</v>
      </c>
      <c r="N7" s="13" t="n">
        <f aca="false">SUMPRODUCT(H7:L7,$H$5:$L$5)</f>
        <v>4.15</v>
      </c>
      <c r="O7" s="14" t="str">
        <f aca="false">IF(M7&gt;N7,"Hacer","Comprar")</f>
        <v>Comprar</v>
      </c>
      <c r="P7" s="14" t="s">
        <v>54</v>
      </c>
      <c r="Q7" s="6" t="s">
        <v>55</v>
      </c>
      <c r="R7" s="6" t="s">
        <v>56</v>
      </c>
      <c r="S7" s="6" t="s">
        <v>57</v>
      </c>
      <c r="T7" s="6" t="s">
        <v>58</v>
      </c>
    </row>
    <row r="8" customFormat="false" ht="48" hidden="false" customHeight="true" outlineLevel="0" collapsed="false">
      <c r="A8" s="4" t="s">
        <v>59</v>
      </c>
      <c r="B8" s="6" t="s">
        <v>60</v>
      </c>
      <c r="C8" s="12" t="n">
        <v>3</v>
      </c>
      <c r="D8" s="12" t="n">
        <v>1</v>
      </c>
      <c r="E8" s="12" t="n">
        <v>1</v>
      </c>
      <c r="F8" s="12" t="n">
        <v>2</v>
      </c>
      <c r="G8" s="12" t="n">
        <v>4</v>
      </c>
      <c r="H8" s="12" t="n">
        <v>3</v>
      </c>
      <c r="I8" s="12" t="n">
        <v>5</v>
      </c>
      <c r="J8" s="12" t="n">
        <v>5</v>
      </c>
      <c r="K8" s="12" t="n">
        <v>4</v>
      </c>
      <c r="L8" s="12" t="n">
        <v>3</v>
      </c>
      <c r="M8" s="13" t="n">
        <f aca="false">SUMPRODUCT(C8:G8,$C$5:$G$5)</f>
        <v>2.05</v>
      </c>
      <c r="N8" s="13" t="n">
        <f aca="false">SUMPRODUCT(H8:L8,$H$5:$L$5)</f>
        <v>4.05</v>
      </c>
      <c r="O8" s="14" t="str">
        <f aca="false">IF(M8&gt;N8,"Hacer","Comprar")</f>
        <v>Comprar</v>
      </c>
      <c r="P8" s="14" t="s">
        <v>54</v>
      </c>
      <c r="Q8" s="6" t="s">
        <v>61</v>
      </c>
      <c r="R8" s="6" t="s">
        <v>62</v>
      </c>
      <c r="S8" s="6" t="s">
        <v>63</v>
      </c>
      <c r="T8" s="6" t="s">
        <v>64</v>
      </c>
    </row>
    <row r="9" customFormat="false" ht="48" hidden="false" customHeight="true" outlineLevel="0" collapsed="false">
      <c r="A9" s="4" t="s">
        <v>65</v>
      </c>
      <c r="B9" s="6" t="s">
        <v>66</v>
      </c>
      <c r="C9" s="12" t="n">
        <v>4</v>
      </c>
      <c r="D9" s="12" t="n">
        <v>4</v>
      </c>
      <c r="E9" s="12" t="n">
        <v>4</v>
      </c>
      <c r="F9" s="12" t="n">
        <v>4</v>
      </c>
      <c r="G9" s="12" t="n">
        <v>5</v>
      </c>
      <c r="H9" s="12" t="n">
        <v>3</v>
      </c>
      <c r="I9" s="12" t="n">
        <v>5</v>
      </c>
      <c r="J9" s="12" t="n">
        <v>4</v>
      </c>
      <c r="K9" s="12" t="n">
        <v>3</v>
      </c>
      <c r="L9" s="12" t="n">
        <v>1</v>
      </c>
      <c r="M9" s="13" t="n">
        <f aca="false">SUMPRODUCT(C9:G9,$C$5:$G$5)</f>
        <v>4.1</v>
      </c>
      <c r="N9" s="13" t="n">
        <f aca="false">SUMPRODUCT(H9:L9,$H$5:$L$5)</f>
        <v>3.5</v>
      </c>
      <c r="O9" s="14" t="str">
        <f aca="false">IF(M9&gt;N9,"Hacer","Comprar")</f>
        <v>Hacer</v>
      </c>
      <c r="P9" s="14" t="s">
        <v>67</v>
      </c>
      <c r="Q9" s="6" t="s">
        <v>68</v>
      </c>
      <c r="R9" s="6" t="s">
        <v>69</v>
      </c>
      <c r="S9" s="6" t="s">
        <v>70</v>
      </c>
      <c r="T9" s="6" t="s">
        <v>71</v>
      </c>
    </row>
    <row r="10" customFormat="false" ht="48" hidden="false" customHeight="true" outlineLevel="0" collapsed="false">
      <c r="A10" s="4" t="s">
        <v>72</v>
      </c>
      <c r="B10" s="6" t="s">
        <v>73</v>
      </c>
      <c r="C10" s="12" t="n">
        <v>3</v>
      </c>
      <c r="D10" s="12" t="n">
        <v>3</v>
      </c>
      <c r="E10" s="12" t="n">
        <v>3</v>
      </c>
      <c r="F10" s="12" t="n">
        <v>3</v>
      </c>
      <c r="G10" s="12" t="n">
        <v>4</v>
      </c>
      <c r="H10" s="12" t="n">
        <v>3</v>
      </c>
      <c r="I10" s="12" t="n">
        <v>5</v>
      </c>
      <c r="J10" s="12" t="n">
        <v>4</v>
      </c>
      <c r="K10" s="12" t="n">
        <v>4</v>
      </c>
      <c r="L10" s="12" t="n">
        <v>3</v>
      </c>
      <c r="M10" s="13" t="n">
        <f aca="false">SUMPRODUCT(C10:G10,$C$5:$G$5)</f>
        <v>3.1</v>
      </c>
      <c r="N10" s="13" t="n">
        <f aca="false">SUMPRODUCT(H10:L10,$H$5:$L$5)</f>
        <v>3.85</v>
      </c>
      <c r="O10" s="14" t="str">
        <f aca="false">IF(M10&gt;N10,"Hacer","Comprar")</f>
        <v>Comprar</v>
      </c>
      <c r="P10" s="14" t="s">
        <v>54</v>
      </c>
      <c r="Q10" s="6" t="s">
        <v>74</v>
      </c>
      <c r="R10" s="6" t="s">
        <v>75</v>
      </c>
      <c r="S10" s="6" t="s">
        <v>76</v>
      </c>
      <c r="T10" s="6" t="s">
        <v>77</v>
      </c>
    </row>
    <row r="11" customFormat="false" ht="48" hidden="false" customHeight="true" outlineLevel="0" collapsed="false">
      <c r="A11" s="4" t="s">
        <v>78</v>
      </c>
      <c r="B11" s="6" t="s">
        <v>79</v>
      </c>
      <c r="C11" s="12" t="n">
        <v>4</v>
      </c>
      <c r="D11" s="12" t="n">
        <v>4</v>
      </c>
      <c r="E11" s="12" t="n">
        <v>2</v>
      </c>
      <c r="F11" s="12" t="n">
        <v>1</v>
      </c>
      <c r="G11" s="12" t="n">
        <v>4</v>
      </c>
      <c r="H11" s="12" t="n">
        <v>2</v>
      </c>
      <c r="I11" s="12" t="n">
        <v>4</v>
      </c>
      <c r="J11" s="12" t="n">
        <v>5</v>
      </c>
      <c r="K11" s="12" t="n">
        <v>5</v>
      </c>
      <c r="L11" s="12" t="n">
        <v>3</v>
      </c>
      <c r="M11" s="13" t="n">
        <f aca="false">SUMPRODUCT(C11:G11,$C$5:$G$5)</f>
        <v>3.15</v>
      </c>
      <c r="N11" s="13" t="n">
        <f aca="false">SUMPRODUCT(H11:L11,$H$5:$L$5)</f>
        <v>3.65</v>
      </c>
      <c r="O11" s="14" t="str">
        <f aca="false">IF(M11&gt;N11,"Hacer","Comprar")</f>
        <v>Comprar</v>
      </c>
      <c r="P11" s="14" t="s">
        <v>54</v>
      </c>
      <c r="Q11" s="6" t="s">
        <v>80</v>
      </c>
      <c r="R11" s="6" t="s">
        <v>81</v>
      </c>
      <c r="S11" s="6" t="s">
        <v>82</v>
      </c>
      <c r="T11" s="6" t="s">
        <v>83</v>
      </c>
    </row>
    <row r="12" customFormat="false" ht="48" hidden="false" customHeight="true" outlineLevel="0" collapsed="false">
      <c r="A12" s="4" t="s">
        <v>84</v>
      </c>
      <c r="B12" s="6" t="s">
        <v>85</v>
      </c>
      <c r="C12" s="12" t="n">
        <v>3</v>
      </c>
      <c r="D12" s="12" t="n">
        <v>2</v>
      </c>
      <c r="E12" s="12" t="n">
        <v>1</v>
      </c>
      <c r="F12" s="12" t="n">
        <v>3</v>
      </c>
      <c r="G12" s="12" t="n">
        <v>4</v>
      </c>
      <c r="H12" s="12" t="n">
        <v>3</v>
      </c>
      <c r="I12" s="12" t="n">
        <v>4</v>
      </c>
      <c r="J12" s="12" t="n">
        <v>5</v>
      </c>
      <c r="K12" s="12" t="n">
        <v>4</v>
      </c>
      <c r="L12" s="12" t="n">
        <v>3</v>
      </c>
      <c r="M12" s="13" t="n">
        <f aca="false">SUMPRODUCT(C12:G12,$C$5:$G$5)</f>
        <v>2.45</v>
      </c>
      <c r="N12" s="13" t="n">
        <f aca="false">SUMPRODUCT(H12:L12,$H$5:$L$5)</f>
        <v>3.8</v>
      </c>
      <c r="O12" s="14" t="str">
        <f aca="false">IF(M12&gt;N12,"Hacer","Comprar")</f>
        <v>Comprar</v>
      </c>
      <c r="P12" s="14" t="s">
        <v>86</v>
      </c>
      <c r="Q12" s="6" t="s">
        <v>87</v>
      </c>
      <c r="R12" s="6" t="s">
        <v>88</v>
      </c>
      <c r="S12" s="6" t="s">
        <v>89</v>
      </c>
      <c r="T12" s="6" t="s">
        <v>90</v>
      </c>
    </row>
    <row r="13" customFormat="false" ht="48" hidden="false" customHeight="true" outlineLevel="0" collapsed="false">
      <c r="A13" s="4" t="s">
        <v>91</v>
      </c>
      <c r="B13" s="6" t="s">
        <v>92</v>
      </c>
      <c r="C13" s="12" t="n">
        <v>5</v>
      </c>
      <c r="D13" s="12" t="n">
        <v>4</v>
      </c>
      <c r="E13" s="12" t="n">
        <v>4</v>
      </c>
      <c r="F13" s="12" t="n">
        <v>4</v>
      </c>
      <c r="G13" s="12" t="n">
        <v>5</v>
      </c>
      <c r="H13" s="12" t="n">
        <v>2</v>
      </c>
      <c r="I13" s="12" t="n">
        <v>4</v>
      </c>
      <c r="J13" s="12" t="n">
        <v>4</v>
      </c>
      <c r="K13" s="12" t="n">
        <v>3</v>
      </c>
      <c r="L13" s="12" t="n">
        <v>2</v>
      </c>
      <c r="M13" s="13" t="n">
        <f aca="false">SUMPRODUCT(C13:G13,$C$5:$G$5)</f>
        <v>4.4</v>
      </c>
      <c r="N13" s="13" t="n">
        <f aca="false">SUMPRODUCT(H13:L13,$H$5:$L$5)</f>
        <v>3.05</v>
      </c>
      <c r="O13" s="14" t="str">
        <f aca="false">IF(M13&gt;N13,"Hacer","Comprar")</f>
        <v>Hacer</v>
      </c>
      <c r="P13" s="14" t="s">
        <v>67</v>
      </c>
      <c r="Q13" s="6" t="s">
        <v>93</v>
      </c>
      <c r="R13" s="6" t="s">
        <v>94</v>
      </c>
      <c r="S13" s="6" t="s">
        <v>95</v>
      </c>
      <c r="T13" s="6" t="s">
        <v>96</v>
      </c>
    </row>
    <row r="14" customFormat="false" ht="48" hidden="false" customHeight="true" outlineLevel="0" collapsed="false">
      <c r="A14" s="4" t="s">
        <v>97</v>
      </c>
      <c r="B14" s="6" t="s">
        <v>98</v>
      </c>
      <c r="C14" s="12" t="n">
        <v>5</v>
      </c>
      <c r="D14" s="12" t="n">
        <v>4</v>
      </c>
      <c r="E14" s="12" t="n">
        <v>3</v>
      </c>
      <c r="F14" s="12" t="n">
        <v>2</v>
      </c>
      <c r="G14" s="12" t="n">
        <v>4</v>
      </c>
      <c r="H14" s="12" t="n">
        <v>4</v>
      </c>
      <c r="I14" s="12" t="n">
        <v>4</v>
      </c>
      <c r="J14" s="12" t="n">
        <v>4</v>
      </c>
      <c r="K14" s="12" t="n">
        <v>4</v>
      </c>
      <c r="L14" s="12" t="n">
        <v>3</v>
      </c>
      <c r="M14" s="13" t="n">
        <f aca="false">SUMPRODUCT(C14:G14,$C$5:$G$5)</f>
        <v>3.8</v>
      </c>
      <c r="N14" s="13" t="n">
        <f aca="false">SUMPRODUCT(H14:L14,$H$5:$L$5)</f>
        <v>3.9</v>
      </c>
      <c r="O14" s="14" t="str">
        <f aca="false">IF(M14&gt;N14,"Hacer","Comprar")</f>
        <v>Comprar</v>
      </c>
      <c r="P14" s="14" t="s">
        <v>54</v>
      </c>
      <c r="Q14" s="6" t="s">
        <v>99</v>
      </c>
      <c r="R14" s="6" t="s">
        <v>100</v>
      </c>
      <c r="S14" s="6" t="s">
        <v>101</v>
      </c>
      <c r="T14" s="6" t="s">
        <v>102</v>
      </c>
    </row>
    <row r="15" customFormat="false" ht="48" hidden="false" customHeight="true" outlineLevel="0" collapsed="false">
      <c r="A15" s="4" t="s">
        <v>103</v>
      </c>
      <c r="B15" s="6" t="s">
        <v>104</v>
      </c>
      <c r="C15" s="12" t="n">
        <v>4</v>
      </c>
      <c r="D15" s="12" t="n">
        <v>3</v>
      </c>
      <c r="E15" s="12" t="n">
        <v>3</v>
      </c>
      <c r="F15" s="12" t="n">
        <v>1</v>
      </c>
      <c r="G15" s="12" t="n">
        <v>3</v>
      </c>
      <c r="H15" s="12" t="n">
        <v>3</v>
      </c>
      <c r="I15" s="12" t="n">
        <v>4</v>
      </c>
      <c r="J15" s="12" t="n">
        <v>4</v>
      </c>
      <c r="K15" s="12" t="n">
        <v>5</v>
      </c>
      <c r="L15" s="12" t="n">
        <v>3</v>
      </c>
      <c r="M15" s="13" t="n">
        <f aca="false">SUMPRODUCT(C15:G15,$C$5:$G$5)</f>
        <v>3</v>
      </c>
      <c r="N15" s="13" t="n">
        <f aca="false">SUMPRODUCT(H15:L15,$H$5:$L$5)</f>
        <v>3.75</v>
      </c>
      <c r="O15" s="14" t="str">
        <f aca="false">IF(M15&gt;N15,"Hacer","Comprar")</f>
        <v>Comprar</v>
      </c>
      <c r="P15" s="14" t="s">
        <v>54</v>
      </c>
      <c r="Q15" s="6" t="s">
        <v>105</v>
      </c>
      <c r="R15" s="6" t="s">
        <v>106</v>
      </c>
      <c r="S15" s="6" t="s">
        <v>107</v>
      </c>
      <c r="T15" s="6" t="s">
        <v>108</v>
      </c>
    </row>
    <row r="16" customFormat="false" ht="48" hidden="false" customHeight="true" outlineLevel="0" collapsed="false">
      <c r="A16" s="4" t="s">
        <v>109</v>
      </c>
      <c r="B16" s="6" t="s">
        <v>110</v>
      </c>
      <c r="C16" s="12" t="n">
        <v>4</v>
      </c>
      <c r="D16" s="12" t="n">
        <v>4</v>
      </c>
      <c r="E16" s="12" t="n">
        <v>4</v>
      </c>
      <c r="F16" s="12" t="n">
        <v>4</v>
      </c>
      <c r="G16" s="12" t="n">
        <v>5</v>
      </c>
      <c r="H16" s="12" t="n">
        <v>2</v>
      </c>
      <c r="I16" s="12" t="n">
        <v>3</v>
      </c>
      <c r="J16" s="12" t="n">
        <v>4</v>
      </c>
      <c r="K16" s="12" t="n">
        <v>4</v>
      </c>
      <c r="L16" s="12" t="n">
        <v>3</v>
      </c>
      <c r="M16" s="13" t="n">
        <f aca="false">SUMPRODUCT(C16:G16,$C$5:$G$5)</f>
        <v>4.1</v>
      </c>
      <c r="N16" s="13" t="n">
        <f aca="false">SUMPRODUCT(H16:L16,$H$5:$L$5)</f>
        <v>3.05</v>
      </c>
      <c r="O16" s="14" t="str">
        <f aca="false">IF(M16&gt;N16,"Hacer","Comprar")</f>
        <v>Hacer</v>
      </c>
      <c r="P16" s="14" t="s">
        <v>67</v>
      </c>
      <c r="Q16" s="6" t="s">
        <v>111</v>
      </c>
      <c r="R16" s="6" t="s">
        <v>112</v>
      </c>
      <c r="S16" s="6" t="s">
        <v>113</v>
      </c>
      <c r="T16" s="6" t="s">
        <v>114</v>
      </c>
    </row>
    <row r="17" customFormat="false" ht="48" hidden="false" customHeight="true" outlineLevel="0" collapsed="false">
      <c r="A17" s="4" t="s">
        <v>115</v>
      </c>
      <c r="B17" s="6" t="s">
        <v>116</v>
      </c>
      <c r="C17" s="12" t="n">
        <v>5</v>
      </c>
      <c r="D17" s="12" t="n">
        <v>4</v>
      </c>
      <c r="E17" s="12" t="n">
        <v>4</v>
      </c>
      <c r="F17" s="12" t="n">
        <v>4</v>
      </c>
      <c r="G17" s="12" t="n">
        <v>5</v>
      </c>
      <c r="H17" s="12" t="n">
        <v>2</v>
      </c>
      <c r="I17" s="12" t="n">
        <v>4</v>
      </c>
      <c r="J17" s="12" t="n">
        <v>4</v>
      </c>
      <c r="K17" s="12" t="n">
        <v>3</v>
      </c>
      <c r="L17" s="12" t="n">
        <v>2</v>
      </c>
      <c r="M17" s="13" t="n">
        <f aca="false">SUMPRODUCT(C17:G17,$C$5:$G$5)</f>
        <v>4.4</v>
      </c>
      <c r="N17" s="13" t="n">
        <f aca="false">SUMPRODUCT(H17:L17,$H$5:$L$5)</f>
        <v>3.05</v>
      </c>
      <c r="O17" s="14" t="str">
        <f aca="false">IF(M17&gt;N17,"Hacer","Comprar")</f>
        <v>Hacer</v>
      </c>
      <c r="P17" s="14" t="s">
        <v>67</v>
      </c>
      <c r="Q17" s="6" t="s">
        <v>117</v>
      </c>
      <c r="R17" s="6" t="s">
        <v>118</v>
      </c>
      <c r="S17" s="6" t="s">
        <v>119</v>
      </c>
      <c r="T17" s="6" t="s">
        <v>120</v>
      </c>
    </row>
    <row r="19" customFormat="false" ht="23.85" hidden="false" customHeight="false" outlineLevel="0" collapsed="false">
      <c r="A19" s="4" t="s">
        <v>121</v>
      </c>
      <c r="B19" s="4" t="str">
        <f aca="false">IF(AND(B5=1,SUMPRODUCT(--(LEFT(P7:P17,5)=LEFT(O7:O17,5)))=11),"OK: pesos 100 % y decisiones coherentes con el puntaje","REVISAR")</f>
        <v>OK: pesos 100 % y decisiones coherentes con el puntaje</v>
      </c>
    </row>
  </sheetData>
  <conditionalFormatting sqref="M7:N17">
    <cfRule type="expression" priority="2" aboveAverage="0" equalAverage="0" bottom="0" percent="0" rank="0" text="" dxfId="0">
      <formula>M7=MAX($M7:$N7)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4" min="3" style="0" width="30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23.85" hidden="false" customHeight="false" outlineLevel="0" collapsed="false">
      <c r="A4" s="3" t="s">
        <v>32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132</v>
      </c>
      <c r="K4" s="3" t="s">
        <v>133</v>
      </c>
      <c r="L4" s="3" t="s">
        <v>134</v>
      </c>
    </row>
    <row r="5" customFormat="false" ht="54" hidden="false" customHeight="true" outlineLevel="0" collapsed="false">
      <c r="A5" s="4" t="s">
        <v>135</v>
      </c>
      <c r="B5" s="6" t="s">
        <v>136</v>
      </c>
      <c r="C5" s="6" t="s">
        <v>137</v>
      </c>
      <c r="D5" s="6" t="s">
        <v>138</v>
      </c>
      <c r="E5" s="6" t="s">
        <v>139</v>
      </c>
      <c r="F5" s="15" t="n">
        <v>108000</v>
      </c>
      <c r="G5" s="6" t="s">
        <v>140</v>
      </c>
      <c r="H5" s="6" t="s">
        <v>141</v>
      </c>
      <c r="I5" s="6" t="s">
        <v>142</v>
      </c>
      <c r="J5" s="6" t="s">
        <v>143</v>
      </c>
      <c r="K5" s="6" t="s">
        <v>58</v>
      </c>
      <c r="L5" s="16" t="n">
        <f aca="false">F5/$F$16</f>
        <v>0.289777300778106</v>
      </c>
    </row>
    <row r="6" customFormat="false" ht="54" hidden="false" customHeight="true" outlineLevel="0" collapsed="false">
      <c r="A6" s="4" t="s">
        <v>144</v>
      </c>
      <c r="B6" s="6" t="s">
        <v>145</v>
      </c>
      <c r="C6" s="6" t="s">
        <v>137</v>
      </c>
      <c r="D6" s="6" t="s">
        <v>146</v>
      </c>
      <c r="E6" s="6" t="s">
        <v>147</v>
      </c>
      <c r="F6" s="15" t="n">
        <v>216888</v>
      </c>
      <c r="G6" s="6" t="s">
        <v>148</v>
      </c>
      <c r="H6" s="6" t="s">
        <v>141</v>
      </c>
      <c r="I6" s="6" t="s">
        <v>142</v>
      </c>
      <c r="J6" s="6" t="s">
        <v>143</v>
      </c>
      <c r="K6" s="6" t="s">
        <v>64</v>
      </c>
      <c r="L6" s="16" t="n">
        <f aca="false">F6/$F$16</f>
        <v>0.581937214918165</v>
      </c>
    </row>
    <row r="7" customFormat="false" ht="54" hidden="false" customHeight="true" outlineLevel="0" collapsed="false">
      <c r="A7" s="4" t="s">
        <v>149</v>
      </c>
      <c r="B7" s="6" t="s">
        <v>150</v>
      </c>
      <c r="C7" s="6" t="s">
        <v>151</v>
      </c>
      <c r="D7" s="6" t="s">
        <v>152</v>
      </c>
      <c r="E7" s="6" t="s">
        <v>153</v>
      </c>
      <c r="F7" s="15" t="n">
        <v>5494</v>
      </c>
      <c r="G7" s="6" t="s">
        <v>154</v>
      </c>
      <c r="H7" s="6" t="s">
        <v>155</v>
      </c>
      <c r="I7" s="6" t="s">
        <v>156</v>
      </c>
      <c r="J7" s="6" t="s">
        <v>157</v>
      </c>
      <c r="K7" s="6" t="s">
        <v>158</v>
      </c>
      <c r="L7" s="16" t="n">
        <f aca="false">F7/$F$16</f>
        <v>0.0147410786155085</v>
      </c>
    </row>
    <row r="8" customFormat="false" ht="54" hidden="false" customHeight="true" outlineLevel="0" collapsed="false">
      <c r="A8" s="4" t="s">
        <v>159</v>
      </c>
      <c r="B8" s="6" t="s">
        <v>160</v>
      </c>
      <c r="C8" s="6" t="s">
        <v>161</v>
      </c>
      <c r="D8" s="6" t="s">
        <v>162</v>
      </c>
      <c r="E8" s="6" t="s">
        <v>163</v>
      </c>
      <c r="F8" s="15" t="n">
        <v>1680</v>
      </c>
      <c r="G8" s="6" t="s">
        <v>164</v>
      </c>
      <c r="H8" s="6" t="s">
        <v>165</v>
      </c>
      <c r="I8" s="6" t="s">
        <v>156</v>
      </c>
      <c r="J8" s="6" t="s">
        <v>166</v>
      </c>
      <c r="K8" s="6" t="s">
        <v>167</v>
      </c>
      <c r="L8" s="16" t="n">
        <f aca="false">F8/$F$16</f>
        <v>0.00450764690099276</v>
      </c>
    </row>
    <row r="9" customFormat="false" ht="54" hidden="false" customHeight="true" outlineLevel="0" collapsed="false">
      <c r="A9" s="4" t="s">
        <v>168</v>
      </c>
      <c r="B9" s="6" t="s">
        <v>169</v>
      </c>
      <c r="C9" s="6" t="s">
        <v>170</v>
      </c>
      <c r="D9" s="6" t="s">
        <v>171</v>
      </c>
      <c r="E9" s="6" t="s">
        <v>172</v>
      </c>
      <c r="F9" s="15" t="n">
        <v>7500</v>
      </c>
      <c r="G9" s="6" t="s">
        <v>173</v>
      </c>
      <c r="H9" s="6" t="s">
        <v>174</v>
      </c>
      <c r="I9" s="6" t="s">
        <v>175</v>
      </c>
      <c r="J9" s="6" t="s">
        <v>176</v>
      </c>
      <c r="K9" s="6" t="s">
        <v>83</v>
      </c>
      <c r="L9" s="16" t="n">
        <f aca="false">F9/$F$16</f>
        <v>0.0201234236651462</v>
      </c>
    </row>
    <row r="10" customFormat="false" ht="54" hidden="false" customHeight="true" outlineLevel="0" collapsed="false">
      <c r="A10" s="4" t="s">
        <v>177</v>
      </c>
      <c r="B10" s="6" t="s">
        <v>178</v>
      </c>
      <c r="C10" s="6" t="s">
        <v>179</v>
      </c>
      <c r="D10" s="6" t="s">
        <v>180</v>
      </c>
      <c r="E10" s="6" t="s">
        <v>181</v>
      </c>
      <c r="F10" s="15" t="n">
        <v>7200</v>
      </c>
      <c r="G10" s="6" t="s">
        <v>182</v>
      </c>
      <c r="H10" s="6" t="s">
        <v>174</v>
      </c>
      <c r="I10" s="6" t="s">
        <v>183</v>
      </c>
      <c r="J10" s="6" t="s">
        <v>184</v>
      </c>
      <c r="K10" s="6" t="s">
        <v>90</v>
      </c>
      <c r="L10" s="16" t="n">
        <f aca="false">F10/$F$16</f>
        <v>0.0193184867185404</v>
      </c>
    </row>
    <row r="11" customFormat="false" ht="54" hidden="false" customHeight="true" outlineLevel="0" collapsed="false">
      <c r="A11" s="4" t="s">
        <v>185</v>
      </c>
      <c r="B11" s="6" t="s">
        <v>186</v>
      </c>
      <c r="C11" s="6" t="s">
        <v>187</v>
      </c>
      <c r="D11" s="6" t="s">
        <v>188</v>
      </c>
      <c r="E11" s="6" t="s">
        <v>189</v>
      </c>
      <c r="F11" s="15" t="n">
        <v>2400</v>
      </c>
      <c r="G11" s="6" t="s">
        <v>190</v>
      </c>
      <c r="H11" s="6" t="s">
        <v>191</v>
      </c>
      <c r="I11" s="6" t="s">
        <v>192</v>
      </c>
      <c r="J11" s="6" t="s">
        <v>193</v>
      </c>
      <c r="K11" s="6" t="s">
        <v>108</v>
      </c>
      <c r="L11" s="16" t="n">
        <f aca="false">F11/$F$16</f>
        <v>0.00643949557284679</v>
      </c>
    </row>
    <row r="12" customFormat="false" ht="54" hidden="false" customHeight="true" outlineLevel="0" collapsed="false">
      <c r="A12" s="4" t="s">
        <v>194</v>
      </c>
      <c r="B12" s="6" t="s">
        <v>195</v>
      </c>
      <c r="C12" s="6" t="s">
        <v>196</v>
      </c>
      <c r="D12" s="6" t="s">
        <v>171</v>
      </c>
      <c r="E12" s="6" t="s">
        <v>197</v>
      </c>
      <c r="F12" s="15" t="n">
        <v>900</v>
      </c>
      <c r="G12" s="6" t="s">
        <v>198</v>
      </c>
      <c r="H12" s="6" t="s">
        <v>165</v>
      </c>
      <c r="I12" s="6" t="s">
        <v>199</v>
      </c>
      <c r="J12" s="6" t="s">
        <v>166</v>
      </c>
      <c r="K12" s="6" t="s">
        <v>102</v>
      </c>
      <c r="L12" s="16" t="n">
        <f aca="false">F12/$F$16</f>
        <v>0.00241481083981755</v>
      </c>
    </row>
    <row r="13" customFormat="false" ht="54" hidden="false" customHeight="true" outlineLevel="0" collapsed="false">
      <c r="A13" s="4" t="s">
        <v>200</v>
      </c>
      <c r="B13" s="6" t="s">
        <v>201</v>
      </c>
      <c r="C13" s="6" t="s">
        <v>202</v>
      </c>
      <c r="D13" s="6" t="s">
        <v>203</v>
      </c>
      <c r="E13" s="6" t="s">
        <v>204</v>
      </c>
      <c r="F13" s="15" t="n">
        <v>3600</v>
      </c>
      <c r="G13" s="6" t="s">
        <v>205</v>
      </c>
      <c r="H13" s="6" t="s">
        <v>206</v>
      </c>
      <c r="I13" s="6" t="s">
        <v>207</v>
      </c>
      <c r="J13" s="6" t="s">
        <v>208</v>
      </c>
      <c r="K13" s="6" t="s">
        <v>96</v>
      </c>
      <c r="L13" s="16" t="n">
        <f aca="false">F13/$F$16</f>
        <v>0.00965924335927019</v>
      </c>
    </row>
    <row r="14" customFormat="false" ht="15" hidden="false" customHeight="false" outlineLevel="0" collapsed="false">
      <c r="A14" s="4" t="s">
        <v>209</v>
      </c>
      <c r="F14" s="17" t="n">
        <f aca="false">SUM(F5:F13)</f>
        <v>353662</v>
      </c>
    </row>
    <row r="15" customFormat="false" ht="46.25" hidden="false" customHeight="false" outlineLevel="0" collapsed="false">
      <c r="A15" s="4" t="s">
        <v>210</v>
      </c>
      <c r="F15" s="15" t="n">
        <v>19038</v>
      </c>
    </row>
    <row r="16" customFormat="false" ht="35.05" hidden="false" customHeight="false" outlineLevel="0" collapsed="false">
      <c r="A16" s="4" t="s">
        <v>211</v>
      </c>
      <c r="F16" s="17" t="n">
        <f aca="false">F14+F15</f>
        <v>372700</v>
      </c>
    </row>
    <row r="17" customFormat="false" ht="35.05" hidden="false" customHeight="false" outlineLevel="0" collapsed="false">
      <c r="A17" s="4" t="s">
        <v>121</v>
      </c>
      <c r="F17" s="4" t="str">
        <f aca="false">IF(F16=372700,"OK: igual al costo base de la N2","REVISAR")</f>
        <v>OK: igual al costo base de la N2</v>
      </c>
    </row>
    <row r="19" customFormat="false" ht="15" hidden="false" customHeight="false" outlineLevel="0" collapsed="false">
      <c r="A19" s="8" t="s">
        <v>212</v>
      </c>
    </row>
    <row r="20" customFormat="false" ht="15" hidden="false" customHeight="false" outlineLevel="0" collapsed="false">
      <c r="A20" s="3" t="s">
        <v>213</v>
      </c>
      <c r="B20" s="3" t="s">
        <v>214</v>
      </c>
      <c r="C20" s="3" t="s">
        <v>215</v>
      </c>
      <c r="D20" s="3" t="s">
        <v>216</v>
      </c>
      <c r="E20" s="3" t="s">
        <v>217</v>
      </c>
    </row>
    <row r="21" customFormat="false" ht="23.85" hidden="false" customHeight="false" outlineLevel="0" collapsed="false">
      <c r="A21" s="4" t="s">
        <v>218</v>
      </c>
      <c r="B21" s="6" t="s">
        <v>219</v>
      </c>
      <c r="C21" s="6" t="s">
        <v>220</v>
      </c>
      <c r="D21" s="18" t="n">
        <v>0.15</v>
      </c>
      <c r="E21" s="19" t="n">
        <f aca="false">D21*$F$6</f>
        <v>32533.2</v>
      </c>
    </row>
    <row r="22" customFormat="false" ht="15" hidden="false" customHeight="false" outlineLevel="0" collapsed="false">
      <c r="A22" s="4" t="s">
        <v>221</v>
      </c>
      <c r="B22" s="6" t="s">
        <v>222</v>
      </c>
      <c r="C22" s="6" t="s">
        <v>223</v>
      </c>
      <c r="D22" s="18" t="n">
        <v>0.2</v>
      </c>
      <c r="E22" s="19" t="n">
        <f aca="false">D22*$F$6</f>
        <v>43377.6</v>
      </c>
    </row>
    <row r="23" customFormat="false" ht="23.85" hidden="false" customHeight="false" outlineLevel="0" collapsed="false">
      <c r="A23" s="4" t="s">
        <v>224</v>
      </c>
      <c r="B23" s="6" t="s">
        <v>225</v>
      </c>
      <c r="C23" s="6" t="s">
        <v>226</v>
      </c>
      <c r="D23" s="18" t="n">
        <v>0.2</v>
      </c>
      <c r="E23" s="19" t="n">
        <f aca="false">D23*$F$6</f>
        <v>43377.6</v>
      </c>
    </row>
    <row r="24" customFormat="false" ht="15" hidden="false" customHeight="false" outlineLevel="0" collapsed="false">
      <c r="A24" s="4" t="s">
        <v>227</v>
      </c>
      <c r="B24" s="6" t="s">
        <v>228</v>
      </c>
      <c r="C24" s="6" t="s">
        <v>229</v>
      </c>
      <c r="D24" s="18" t="n">
        <v>0.15</v>
      </c>
      <c r="E24" s="19" t="n">
        <f aca="false">D24*$F$6</f>
        <v>32533.2</v>
      </c>
    </row>
    <row r="25" customFormat="false" ht="23.85" hidden="false" customHeight="false" outlineLevel="0" collapsed="false">
      <c r="A25" s="4" t="s">
        <v>230</v>
      </c>
      <c r="B25" s="6" t="s">
        <v>231</v>
      </c>
      <c r="C25" s="6" t="s">
        <v>232</v>
      </c>
      <c r="D25" s="18" t="n">
        <v>0.1</v>
      </c>
      <c r="E25" s="19" t="n">
        <f aca="false">D25*$F$6</f>
        <v>21688.8</v>
      </c>
    </row>
    <row r="26" customFormat="false" ht="35.05" hidden="false" customHeight="false" outlineLevel="0" collapsed="false">
      <c r="A26" s="4" t="s">
        <v>233</v>
      </c>
      <c r="B26" s="6" t="s">
        <v>234</v>
      </c>
      <c r="C26" s="6" t="s">
        <v>235</v>
      </c>
      <c r="D26" s="18" t="n">
        <v>0.2</v>
      </c>
      <c r="E26" s="19" t="n">
        <f aca="false">D26*$F$6</f>
        <v>43377.6</v>
      </c>
    </row>
    <row r="27" customFormat="false" ht="15" hidden="false" customHeight="false" outlineLevel="0" collapsed="false">
      <c r="C27" s="4" t="s">
        <v>209</v>
      </c>
      <c r="D27" s="20" t="n">
        <f aca="false">SUM(D21:D26)</f>
        <v>1</v>
      </c>
      <c r="E27" s="17" t="n">
        <f aca="false">SUM(E21:E26)</f>
        <v>216888</v>
      </c>
    </row>
    <row r="28" customFormat="false" ht="15" hidden="false" customHeight="false" outlineLevel="0" collapsed="false">
      <c r="C28" s="4" t="s">
        <v>121</v>
      </c>
      <c r="D28" s="4" t="str">
        <f aca="false">IF(D27=1,"OK","REVISAR")</f>
        <v>OK</v>
      </c>
    </row>
    <row r="30" customFormat="false" ht="15" hidden="false" customHeight="false" outlineLevel="0" collapsed="false">
      <c r="A30" s="8" t="s">
        <v>236</v>
      </c>
    </row>
    <row r="31" customFormat="false" ht="15" hidden="false" customHeight="false" outlineLevel="0" collapsed="false">
      <c r="A31" s="3" t="s">
        <v>237</v>
      </c>
      <c r="B31" s="3" t="s">
        <v>238</v>
      </c>
      <c r="C31" s="3" t="s">
        <v>239</v>
      </c>
    </row>
    <row r="32" customFormat="false" ht="35.05" hidden="false" customHeight="false" outlineLevel="0" collapsed="false">
      <c r="A32" s="4" t="s">
        <v>240</v>
      </c>
      <c r="B32" s="6" t="s">
        <v>241</v>
      </c>
      <c r="C32" s="6" t="s">
        <v>165</v>
      </c>
    </row>
    <row r="33" customFormat="false" ht="46.25" hidden="false" customHeight="false" outlineLevel="0" collapsed="false">
      <c r="A33" s="4" t="s">
        <v>242</v>
      </c>
      <c r="B33" s="6" t="s">
        <v>243</v>
      </c>
      <c r="C33" s="6" t="s">
        <v>244</v>
      </c>
    </row>
    <row r="34" customFormat="false" ht="102.2" hidden="false" customHeight="false" outlineLevel="0" collapsed="false">
      <c r="A34" s="4" t="s">
        <v>245</v>
      </c>
      <c r="B34" s="6" t="s">
        <v>246</v>
      </c>
      <c r="C34" s="6" t="s">
        <v>247</v>
      </c>
    </row>
    <row r="35" customFormat="false" ht="91" hidden="false" customHeight="false" outlineLevel="0" collapsed="false">
      <c r="A35" s="4" t="s">
        <v>248</v>
      </c>
      <c r="B35" s="6" t="s">
        <v>249</v>
      </c>
      <c r="C35" s="6" t="s">
        <v>250</v>
      </c>
    </row>
    <row r="37" customFormat="false" ht="15" hidden="false" customHeight="false" outlineLevel="0" collapsed="false">
      <c r="A37" s="8" t="s">
        <v>251</v>
      </c>
    </row>
    <row r="38" customFormat="false" ht="23.85" hidden="false" customHeight="false" outlineLevel="0" collapsed="false">
      <c r="A38" s="3" t="s">
        <v>25</v>
      </c>
      <c r="B38" s="3" t="s">
        <v>252</v>
      </c>
      <c r="C38" s="3" t="s">
        <v>253</v>
      </c>
      <c r="D38" s="3" t="s">
        <v>254</v>
      </c>
      <c r="E38" s="3" t="s">
        <v>255</v>
      </c>
    </row>
    <row r="39" customFormat="false" ht="79.85" hidden="false" customHeight="false" outlineLevel="0" collapsed="false">
      <c r="A39" s="6" t="s">
        <v>256</v>
      </c>
      <c r="B39" s="18" t="n">
        <v>0.3</v>
      </c>
      <c r="C39" s="12"/>
      <c r="D39" s="12"/>
      <c r="E39" s="12"/>
    </row>
    <row r="40" customFormat="false" ht="79.85" hidden="false" customHeight="false" outlineLevel="0" collapsed="false">
      <c r="A40" s="6" t="s">
        <v>257</v>
      </c>
      <c r="B40" s="18" t="n">
        <v>0.25</v>
      </c>
      <c r="C40" s="12"/>
      <c r="D40" s="12"/>
      <c r="E40" s="12"/>
    </row>
    <row r="41" customFormat="false" ht="15" hidden="false" customHeight="false" outlineLevel="0" collapsed="false">
      <c r="A41" s="6" t="s">
        <v>258</v>
      </c>
      <c r="B41" s="18" t="n">
        <v>0.3</v>
      </c>
      <c r="C41" s="12"/>
      <c r="D41" s="12"/>
      <c r="E41" s="12"/>
    </row>
    <row r="42" customFormat="false" ht="79.85" hidden="false" customHeight="false" outlineLevel="0" collapsed="false">
      <c r="A42" s="6" t="s">
        <v>259</v>
      </c>
      <c r="B42" s="18" t="n">
        <v>0.15</v>
      </c>
      <c r="C42" s="12"/>
      <c r="D42" s="12"/>
      <c r="E42" s="12"/>
    </row>
    <row r="43" customFormat="false" ht="46.25" hidden="false" customHeight="false" outlineLevel="0" collapsed="false">
      <c r="A43" s="4" t="s">
        <v>260</v>
      </c>
      <c r="B43" s="20" t="n">
        <f aca="false">SUM(B39:B42)</f>
        <v>1</v>
      </c>
      <c r="C43" s="21" t="str">
        <f aca="false">IF(COUNT(C39:C42)=0,"",SUMPRODUCT(C39:C42,$B$39:$B$42))</f>
        <v/>
      </c>
      <c r="D43" s="21" t="str">
        <f aca="false">IF(COUNT(D39:D42)=0,"",SUMPRODUCT(D39:D42,$B$39:$B$42))</f>
        <v/>
      </c>
      <c r="E43" s="21" t="str">
        <f aca="false">IF(COUNT(E39:E42)=0,"",SUMPRODUCT(E39:E42,$B$39:$B$42))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261</v>
      </c>
    </row>
    <row r="2" customFormat="false" ht="15" hidden="false" customHeight="false" outlineLevel="0" collapsed="false">
      <c r="A2" s="2" t="s">
        <v>262</v>
      </c>
    </row>
    <row r="4" customFormat="false" ht="15" hidden="false" customHeight="false" outlineLevel="0" collapsed="false">
      <c r="A4" s="22" t="s">
        <v>263</v>
      </c>
      <c r="B4" s="22"/>
    </row>
    <row r="5" customFormat="false" ht="30" hidden="false" customHeight="true" outlineLevel="0" collapsed="false">
      <c r="A5" s="4" t="s">
        <v>124</v>
      </c>
      <c r="B5" s="6" t="s">
        <v>264</v>
      </c>
    </row>
    <row r="6" customFormat="false" ht="30" hidden="false" customHeight="true" outlineLevel="0" collapsed="false">
      <c r="A6" s="4" t="s">
        <v>265</v>
      </c>
      <c r="B6" s="6" t="s">
        <v>266</v>
      </c>
    </row>
    <row r="7" customFormat="false" ht="45" hidden="false" customHeight="true" outlineLevel="0" collapsed="false">
      <c r="A7" s="4" t="s">
        <v>267</v>
      </c>
      <c r="B7" s="6" t="s">
        <v>268</v>
      </c>
    </row>
    <row r="8" customFormat="false" ht="30" hidden="false" customHeight="true" outlineLevel="0" collapsed="false">
      <c r="A8" s="4" t="s">
        <v>269</v>
      </c>
      <c r="B8" s="6" t="s">
        <v>270</v>
      </c>
    </row>
    <row r="9" customFormat="false" ht="30" hidden="false" customHeight="true" outlineLevel="0" collapsed="false">
      <c r="A9" s="4" t="s">
        <v>271</v>
      </c>
      <c r="B9" s="6" t="s">
        <v>272</v>
      </c>
    </row>
    <row r="10" customFormat="false" ht="45" hidden="false" customHeight="true" outlineLevel="0" collapsed="false">
      <c r="A10" s="4" t="s">
        <v>273</v>
      </c>
      <c r="B10" s="6" t="s">
        <v>274</v>
      </c>
    </row>
    <row r="11" customFormat="false" ht="30" hidden="false" customHeight="true" outlineLevel="0" collapsed="false">
      <c r="A11" s="4" t="s">
        <v>275</v>
      </c>
      <c r="B11" s="6" t="s">
        <v>276</v>
      </c>
    </row>
    <row r="13" customFormat="false" ht="15" hidden="false" customHeight="false" outlineLevel="0" collapsed="false">
      <c r="A13" s="22" t="s">
        <v>277</v>
      </c>
      <c r="B13" s="22"/>
    </row>
    <row r="14" customFormat="false" ht="30" hidden="false" customHeight="true" outlineLevel="0" collapsed="false">
      <c r="A14" s="4" t="s">
        <v>124</v>
      </c>
      <c r="B14" s="6" t="s">
        <v>278</v>
      </c>
    </row>
    <row r="15" customFormat="false" ht="30" hidden="false" customHeight="true" outlineLevel="0" collapsed="false">
      <c r="A15" s="4" t="s">
        <v>279</v>
      </c>
      <c r="B15" s="6" t="s">
        <v>280</v>
      </c>
    </row>
    <row r="16" customFormat="false" ht="30" hidden="false" customHeight="true" outlineLevel="0" collapsed="false">
      <c r="A16" s="4" t="s">
        <v>281</v>
      </c>
      <c r="B16" s="6" t="s">
        <v>282</v>
      </c>
    </row>
    <row r="17" customFormat="false" ht="30" hidden="false" customHeight="true" outlineLevel="0" collapsed="false">
      <c r="A17" s="4" t="s">
        <v>283</v>
      </c>
      <c r="B17" s="6" t="s">
        <v>284</v>
      </c>
    </row>
    <row r="18" customFormat="false" ht="30" hidden="false" customHeight="true" outlineLevel="0" collapsed="false">
      <c r="A18" s="4" t="s">
        <v>285</v>
      </c>
      <c r="B18" s="6" t="s">
        <v>286</v>
      </c>
    </row>
    <row r="19" customFormat="false" ht="30" hidden="false" customHeight="true" outlineLevel="0" collapsed="false">
      <c r="A19" s="4" t="s">
        <v>287</v>
      </c>
      <c r="B19" s="6" t="s">
        <v>288</v>
      </c>
    </row>
    <row r="20" customFormat="false" ht="15" hidden="false" customHeight="true" outlineLevel="0" collapsed="false">
      <c r="A20" s="4" t="s">
        <v>273</v>
      </c>
      <c r="B20" s="6" t="s">
        <v>289</v>
      </c>
    </row>
    <row r="22" customFormat="false" ht="15" hidden="false" customHeight="false" outlineLevel="0" collapsed="false">
      <c r="A22" s="22" t="s">
        <v>290</v>
      </c>
      <c r="B22" s="22"/>
    </row>
    <row r="23" customFormat="false" ht="30" hidden="false" customHeight="true" outlineLevel="0" collapsed="false">
      <c r="A23" s="4" t="s">
        <v>124</v>
      </c>
      <c r="B23" s="6" t="s">
        <v>291</v>
      </c>
    </row>
    <row r="24" customFormat="false" ht="30" hidden="false" customHeight="true" outlineLevel="0" collapsed="false">
      <c r="A24" s="4" t="s">
        <v>292</v>
      </c>
      <c r="B24" s="6" t="s">
        <v>293</v>
      </c>
    </row>
    <row r="25" customFormat="false" ht="30" hidden="false" customHeight="true" outlineLevel="0" collapsed="false">
      <c r="A25" s="4" t="s">
        <v>294</v>
      </c>
      <c r="B25" s="6" t="s">
        <v>295</v>
      </c>
    </row>
    <row r="26" customFormat="false" ht="30" hidden="false" customHeight="true" outlineLevel="0" collapsed="false">
      <c r="A26" s="4" t="s">
        <v>283</v>
      </c>
      <c r="B26" s="6" t="s">
        <v>296</v>
      </c>
    </row>
    <row r="27" customFormat="false" ht="30" hidden="false" customHeight="true" outlineLevel="0" collapsed="false">
      <c r="A27" s="4" t="s">
        <v>297</v>
      </c>
      <c r="B27" s="6" t="s">
        <v>298</v>
      </c>
    </row>
    <row r="29" customFormat="false" ht="15" hidden="false" customHeight="false" outlineLevel="0" collapsed="false">
      <c r="A29" s="22" t="s">
        <v>299</v>
      </c>
      <c r="B29" s="22"/>
    </row>
    <row r="30" customFormat="false" ht="30" hidden="false" customHeight="true" outlineLevel="0" collapsed="false">
      <c r="A30" s="4" t="s">
        <v>124</v>
      </c>
      <c r="B30" s="6" t="s">
        <v>300</v>
      </c>
    </row>
    <row r="31" customFormat="false" ht="30" hidden="false" customHeight="true" outlineLevel="0" collapsed="false">
      <c r="A31" s="4" t="s">
        <v>294</v>
      </c>
      <c r="B31" s="6" t="s">
        <v>301</v>
      </c>
    </row>
    <row r="32" customFormat="false" ht="30" hidden="false" customHeight="true" outlineLevel="0" collapsed="false">
      <c r="A32" s="4" t="s">
        <v>302</v>
      </c>
      <c r="B32" s="6" t="s">
        <v>303</v>
      </c>
    </row>
    <row r="33" customFormat="false" ht="30" hidden="false" customHeight="true" outlineLevel="0" collapsed="false">
      <c r="A33" s="4" t="s">
        <v>287</v>
      </c>
      <c r="B33" s="6" t="s">
        <v>304</v>
      </c>
    </row>
    <row r="34" customFormat="false" ht="30" hidden="false" customHeight="true" outlineLevel="0" collapsed="false">
      <c r="A34" s="4" t="s">
        <v>258</v>
      </c>
      <c r="B34" s="6" t="s">
        <v>305</v>
      </c>
    </row>
  </sheetData>
  <mergeCells count="4">
    <mergeCell ref="A4:B4"/>
    <mergeCell ref="A13:B13"/>
    <mergeCell ref="A22:B22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17" min="3" style="0" width="11"/>
    <col collapsed="false" customWidth="true" hidden="false" outlineLevel="0" max="19" min="18" style="0" width="10"/>
    <col collapsed="false" customWidth="true" hidden="false" outlineLevel="0" max="20" min="20" style="0" width="12"/>
  </cols>
  <sheetData>
    <row r="1" customFormat="false" ht="17.35" hidden="false" customHeight="false" outlineLevel="0" collapsed="false">
      <c r="A1" s="1" t="s">
        <v>306</v>
      </c>
    </row>
    <row r="2" customFormat="false" ht="15" hidden="false" customHeight="false" outlineLevel="0" collapsed="false">
      <c r="A2" s="2" t="s">
        <v>307</v>
      </c>
    </row>
    <row r="4" customFormat="false" ht="42" hidden="false" customHeight="true" outlineLevel="0" collapsed="false">
      <c r="A4" s="3" t="s">
        <v>308</v>
      </c>
      <c r="B4" s="3" t="s">
        <v>309</v>
      </c>
      <c r="C4" s="23" t="s">
        <v>244</v>
      </c>
      <c r="D4" s="3" t="s">
        <v>310</v>
      </c>
      <c r="E4" s="3" t="s">
        <v>311</v>
      </c>
      <c r="F4" s="3" t="s">
        <v>312</v>
      </c>
      <c r="G4" s="3" t="s">
        <v>313</v>
      </c>
      <c r="H4" s="3" t="s">
        <v>314</v>
      </c>
      <c r="I4" s="3" t="s">
        <v>315</v>
      </c>
      <c r="J4" s="3" t="s">
        <v>316</v>
      </c>
      <c r="K4" s="3" t="s">
        <v>317</v>
      </c>
      <c r="L4" s="23" t="s">
        <v>318</v>
      </c>
      <c r="M4" s="23" t="s">
        <v>319</v>
      </c>
      <c r="N4" s="23" t="s">
        <v>320</v>
      </c>
      <c r="O4" s="23" t="s">
        <v>321</v>
      </c>
      <c r="P4" s="24" t="s">
        <v>322</v>
      </c>
      <c r="Q4" s="24" t="s">
        <v>323</v>
      </c>
      <c r="R4" s="3" t="s">
        <v>324</v>
      </c>
      <c r="S4" s="3" t="s">
        <v>325</v>
      </c>
      <c r="T4" s="3" t="s">
        <v>326</v>
      </c>
    </row>
    <row r="5" customFormat="false" ht="30" hidden="false" customHeight="true" outlineLevel="0" collapsed="false">
      <c r="A5" s="25"/>
      <c r="B5" s="25" t="s">
        <v>327</v>
      </c>
      <c r="C5" s="26" t="s">
        <v>328</v>
      </c>
      <c r="D5" s="26" t="s">
        <v>329</v>
      </c>
      <c r="E5" s="26" t="s">
        <v>330</v>
      </c>
      <c r="F5" s="26" t="s">
        <v>331</v>
      </c>
      <c r="G5" s="26" t="s">
        <v>331</v>
      </c>
      <c r="H5" s="26" t="s">
        <v>331</v>
      </c>
      <c r="I5" s="26" t="s">
        <v>331</v>
      </c>
      <c r="J5" s="26" t="s">
        <v>331</v>
      </c>
      <c r="K5" s="26" t="s">
        <v>331</v>
      </c>
      <c r="L5" s="26" t="s">
        <v>332</v>
      </c>
      <c r="M5" s="26" t="s">
        <v>333</v>
      </c>
      <c r="N5" s="26" t="s">
        <v>334</v>
      </c>
      <c r="O5" s="26" t="s">
        <v>335</v>
      </c>
      <c r="P5" s="26" t="s">
        <v>336</v>
      </c>
      <c r="Q5" s="26" t="s">
        <v>337</v>
      </c>
    </row>
    <row r="6" customFormat="false" ht="15" hidden="false" customHeight="false" outlineLevel="0" collapsed="false">
      <c r="A6" s="14" t="s">
        <v>338</v>
      </c>
      <c r="B6" s="6" t="s">
        <v>339</v>
      </c>
      <c r="C6" s="12" t="s">
        <v>340</v>
      </c>
      <c r="D6" s="12" t="s">
        <v>341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27" t="n">
        <f aca="false">COUNTIF(C6:Q6,"*A*")</f>
        <v>1</v>
      </c>
      <c r="S6" s="27" t="n">
        <f aca="false">COUNTIF(C6:Q6,"*R*")</f>
        <v>1</v>
      </c>
      <c r="T6" s="14" t="str">
        <f aca="false">IF(AND(R6=1,S6&gt;=1),"OK","REVISAR")</f>
        <v>OK</v>
      </c>
    </row>
    <row r="7" customFormat="false" ht="15" hidden="false" customHeight="false" outlineLevel="0" collapsed="false">
      <c r="A7" s="14" t="s">
        <v>342</v>
      </c>
      <c r="B7" s="6" t="s">
        <v>343</v>
      </c>
      <c r="C7" s="12" t="s">
        <v>340</v>
      </c>
      <c r="D7" s="12" t="s">
        <v>344</v>
      </c>
      <c r="E7" s="12" t="s">
        <v>345</v>
      </c>
      <c r="F7" s="12"/>
      <c r="G7" s="12"/>
      <c r="H7" s="12"/>
      <c r="I7" s="12"/>
      <c r="J7" s="12"/>
      <c r="K7" s="12"/>
      <c r="L7" s="12" t="s">
        <v>345</v>
      </c>
      <c r="M7" s="12" t="s">
        <v>345</v>
      </c>
      <c r="N7" s="12" t="s">
        <v>345</v>
      </c>
      <c r="O7" s="12"/>
      <c r="P7" s="12"/>
      <c r="Q7" s="12"/>
      <c r="R7" s="27" t="n">
        <f aca="false">COUNTIF(C7:Q7,"*A*")</f>
        <v>1</v>
      </c>
      <c r="S7" s="27" t="n">
        <f aca="false">COUNTIF(C7:Q7,"*R*")</f>
        <v>1</v>
      </c>
      <c r="T7" s="14" t="str">
        <f aca="false">IF(AND(R7=1,S7&gt;=1),"OK","REVISAR")</f>
        <v>OK</v>
      </c>
    </row>
    <row r="8" customFormat="false" ht="15" hidden="false" customHeight="false" outlineLevel="0" collapsed="false">
      <c r="A8" s="14" t="s">
        <v>346</v>
      </c>
      <c r="B8" s="6" t="s">
        <v>347</v>
      </c>
      <c r="C8" s="12" t="s">
        <v>340</v>
      </c>
      <c r="D8" s="12" t="s">
        <v>344</v>
      </c>
      <c r="E8" s="12" t="s">
        <v>345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27" t="n">
        <f aca="false">COUNTIF(C8:Q8,"*A*")</f>
        <v>1</v>
      </c>
      <c r="S8" s="27" t="n">
        <f aca="false">COUNTIF(C8:Q8,"*R*")</f>
        <v>1</v>
      </c>
      <c r="T8" s="14" t="str">
        <f aca="false">IF(AND(R8=1,S8&gt;=1),"OK","REVISAR")</f>
        <v>OK</v>
      </c>
    </row>
    <row r="9" customFormat="false" ht="15" hidden="false" customHeight="false" outlineLevel="0" collapsed="false">
      <c r="A9" s="14" t="s">
        <v>348</v>
      </c>
      <c r="B9" s="6" t="s">
        <v>349</v>
      </c>
      <c r="C9" s="12" t="s">
        <v>350</v>
      </c>
      <c r="D9" s="12" t="s">
        <v>351</v>
      </c>
      <c r="E9" s="12"/>
      <c r="F9" s="12"/>
      <c r="G9" s="12"/>
      <c r="H9" s="12"/>
      <c r="I9" s="12"/>
      <c r="J9" s="12"/>
      <c r="K9" s="12"/>
      <c r="L9" s="12" t="s">
        <v>345</v>
      </c>
      <c r="M9" s="12" t="s">
        <v>345</v>
      </c>
      <c r="N9" s="12" t="s">
        <v>345</v>
      </c>
      <c r="O9" s="12"/>
      <c r="P9" s="12"/>
      <c r="Q9" s="12"/>
      <c r="R9" s="27" t="n">
        <f aca="false">COUNTIF(C9:Q9,"*A*")</f>
        <v>1</v>
      </c>
      <c r="S9" s="27" t="n">
        <f aca="false">COUNTIF(C9:Q9,"*R*")</f>
        <v>1</v>
      </c>
      <c r="T9" s="14" t="str">
        <f aca="false">IF(AND(R9=1,S9&gt;=1),"OK","REVISAR")</f>
        <v>OK</v>
      </c>
    </row>
    <row r="10" customFormat="false" ht="15" hidden="false" customHeight="false" outlineLevel="0" collapsed="false">
      <c r="A10" s="14" t="s">
        <v>352</v>
      </c>
      <c r="B10" s="6" t="s">
        <v>353</v>
      </c>
      <c r="C10" s="12" t="s">
        <v>350</v>
      </c>
      <c r="D10" s="12" t="s">
        <v>351</v>
      </c>
      <c r="E10" s="12" t="s">
        <v>345</v>
      </c>
      <c r="F10" s="12"/>
      <c r="G10" s="12"/>
      <c r="H10" s="12"/>
      <c r="I10" s="12"/>
      <c r="J10" s="12"/>
      <c r="K10" s="12"/>
      <c r="L10" s="12" t="s">
        <v>350</v>
      </c>
      <c r="M10" s="12" t="s">
        <v>350</v>
      </c>
      <c r="N10" s="12" t="s">
        <v>350</v>
      </c>
      <c r="O10" s="12"/>
      <c r="P10" s="12"/>
      <c r="Q10" s="12"/>
      <c r="R10" s="27" t="n">
        <f aca="false">COUNTIF(C10:Q10,"*A*")</f>
        <v>1</v>
      </c>
      <c r="S10" s="27" t="n">
        <f aca="false">COUNTIF(C10:Q10,"*R*")</f>
        <v>1</v>
      </c>
      <c r="T10" s="14" t="str">
        <f aca="false">IF(AND(R10=1,S10&gt;=1),"OK","REVISAR")</f>
        <v>OK</v>
      </c>
    </row>
    <row r="11" customFormat="false" ht="15" hidden="false" customHeight="false" outlineLevel="0" collapsed="false">
      <c r="A11" s="14" t="s">
        <v>354</v>
      </c>
      <c r="B11" s="6" t="s">
        <v>355</v>
      </c>
      <c r="C11" s="12" t="s">
        <v>340</v>
      </c>
      <c r="D11" s="12" t="s">
        <v>344</v>
      </c>
      <c r="E11" s="12" t="s">
        <v>345</v>
      </c>
      <c r="F11" s="12"/>
      <c r="G11" s="12"/>
      <c r="H11" s="12"/>
      <c r="I11" s="12"/>
      <c r="J11" s="12"/>
      <c r="K11" s="12"/>
      <c r="L11" s="12" t="s">
        <v>350</v>
      </c>
      <c r="M11" s="12" t="s">
        <v>350</v>
      </c>
      <c r="N11" s="12" t="s">
        <v>350</v>
      </c>
      <c r="O11" s="12"/>
      <c r="P11" s="12"/>
      <c r="Q11" s="12"/>
      <c r="R11" s="27" t="n">
        <f aca="false">COUNTIF(C11:Q11,"*A*")</f>
        <v>1</v>
      </c>
      <c r="S11" s="27" t="n">
        <f aca="false">COUNTIF(C11:Q11,"*R*")</f>
        <v>1</v>
      </c>
      <c r="T11" s="14" t="str">
        <f aca="false">IF(AND(R11=1,S11&gt;=1),"OK","REVISAR")</f>
        <v>OK</v>
      </c>
    </row>
    <row r="12" customFormat="false" ht="15" hidden="false" customHeight="false" outlineLevel="0" collapsed="false">
      <c r="A12" s="14" t="s">
        <v>356</v>
      </c>
      <c r="B12" s="6" t="s">
        <v>357</v>
      </c>
      <c r="C12" s="12"/>
      <c r="D12" s="12" t="s">
        <v>345</v>
      </c>
      <c r="E12" s="12" t="s">
        <v>351</v>
      </c>
      <c r="F12" s="12" t="s">
        <v>350</v>
      </c>
      <c r="G12" s="12" t="s">
        <v>350</v>
      </c>
      <c r="H12" s="12" t="s">
        <v>345</v>
      </c>
      <c r="I12" s="12"/>
      <c r="J12" s="12"/>
      <c r="K12" s="12"/>
      <c r="L12" s="12"/>
      <c r="M12" s="12" t="s">
        <v>345</v>
      </c>
      <c r="N12" s="12" t="s">
        <v>345</v>
      </c>
      <c r="O12" s="12"/>
      <c r="P12" s="12"/>
      <c r="Q12" s="12"/>
      <c r="R12" s="27" t="n">
        <f aca="false">COUNTIF(C12:Q12,"*A*")</f>
        <v>1</v>
      </c>
      <c r="S12" s="27" t="n">
        <f aca="false">COUNTIF(C12:Q12,"*R*")</f>
        <v>1</v>
      </c>
      <c r="T12" s="14" t="str">
        <f aca="false">IF(AND(R12=1,S12&gt;=1),"OK","REVISAR")</f>
        <v>OK</v>
      </c>
    </row>
    <row r="13" customFormat="false" ht="15" hidden="false" customHeight="false" outlineLevel="0" collapsed="false">
      <c r="A13" s="14" t="s">
        <v>358</v>
      </c>
      <c r="B13" s="6" t="s">
        <v>359</v>
      </c>
      <c r="C13" s="12"/>
      <c r="D13" s="12" t="s">
        <v>350</v>
      </c>
      <c r="E13" s="12" t="s">
        <v>345</v>
      </c>
      <c r="F13" s="12"/>
      <c r="G13" s="12"/>
      <c r="H13" s="12"/>
      <c r="I13" s="12"/>
      <c r="J13" s="12" t="s">
        <v>344</v>
      </c>
      <c r="K13" s="12"/>
      <c r="L13" s="12"/>
      <c r="M13" s="12" t="s">
        <v>351</v>
      </c>
      <c r="N13" s="12"/>
      <c r="O13" s="12"/>
      <c r="P13" s="12"/>
      <c r="Q13" s="12"/>
      <c r="R13" s="27" t="n">
        <f aca="false">COUNTIF(C13:Q13,"*A*")</f>
        <v>1</v>
      </c>
      <c r="S13" s="27" t="n">
        <f aca="false">COUNTIF(C13:Q13,"*R*")</f>
        <v>2</v>
      </c>
      <c r="T13" s="14" t="str">
        <f aca="false">IF(AND(R13=1,S13&gt;=1),"OK","REVISAR")</f>
        <v>OK</v>
      </c>
    </row>
    <row r="14" customFormat="false" ht="15" hidden="false" customHeight="false" outlineLevel="0" collapsed="false">
      <c r="A14" s="14" t="s">
        <v>360</v>
      </c>
      <c r="B14" s="6" t="s">
        <v>361</v>
      </c>
      <c r="C14" s="12"/>
      <c r="D14" s="12"/>
      <c r="E14" s="12" t="s">
        <v>362</v>
      </c>
      <c r="F14" s="12" t="s">
        <v>345</v>
      </c>
      <c r="G14" s="12" t="s">
        <v>344</v>
      </c>
      <c r="H14" s="12" t="s">
        <v>345</v>
      </c>
      <c r="I14" s="12"/>
      <c r="J14" s="12"/>
      <c r="K14" s="12"/>
      <c r="L14" s="12"/>
      <c r="M14" s="12" t="s">
        <v>350</v>
      </c>
      <c r="N14" s="12"/>
      <c r="O14" s="12"/>
      <c r="P14" s="12"/>
      <c r="Q14" s="12"/>
      <c r="R14" s="27" t="n">
        <f aca="false">COUNTIF(C14:Q14,"*A*")</f>
        <v>1</v>
      </c>
      <c r="S14" s="27" t="n">
        <f aca="false">COUNTIF(C14:Q14,"*R*")</f>
        <v>1</v>
      </c>
      <c r="T14" s="14" t="str">
        <f aca="false">IF(AND(R14=1,S14&gt;=1),"OK","REVISAR")</f>
        <v>OK</v>
      </c>
    </row>
    <row r="15" customFormat="false" ht="15" hidden="false" customHeight="false" outlineLevel="0" collapsed="false">
      <c r="A15" s="14" t="s">
        <v>363</v>
      </c>
      <c r="B15" s="6" t="s">
        <v>364</v>
      </c>
      <c r="C15" s="12"/>
      <c r="D15" s="12"/>
      <c r="E15" s="12" t="s">
        <v>362</v>
      </c>
      <c r="F15" s="12" t="s">
        <v>345</v>
      </c>
      <c r="G15" s="12" t="s">
        <v>344</v>
      </c>
      <c r="H15" s="12" t="s">
        <v>345</v>
      </c>
      <c r="I15" s="12"/>
      <c r="J15" s="12"/>
      <c r="K15" s="12"/>
      <c r="L15" s="12"/>
      <c r="M15" s="12" t="s">
        <v>350</v>
      </c>
      <c r="N15" s="12"/>
      <c r="O15" s="12"/>
      <c r="P15" s="12"/>
      <c r="Q15" s="12"/>
      <c r="R15" s="27" t="n">
        <f aca="false">COUNTIF(C15:Q15,"*A*")</f>
        <v>1</v>
      </c>
      <c r="S15" s="27" t="n">
        <f aca="false">COUNTIF(C15:Q15,"*R*")</f>
        <v>1</v>
      </c>
      <c r="T15" s="14" t="str">
        <f aca="false">IF(AND(R15=1,S15&gt;=1),"OK","REVISAR")</f>
        <v>OK</v>
      </c>
    </row>
    <row r="16" customFormat="false" ht="15" hidden="false" customHeight="false" outlineLevel="0" collapsed="false">
      <c r="A16" s="14" t="s">
        <v>365</v>
      </c>
      <c r="B16" s="6" t="s">
        <v>366</v>
      </c>
      <c r="C16" s="12"/>
      <c r="D16" s="12"/>
      <c r="E16" s="12" t="s">
        <v>362</v>
      </c>
      <c r="F16" s="12"/>
      <c r="G16" s="12" t="s">
        <v>344</v>
      </c>
      <c r="H16" s="12" t="s">
        <v>345</v>
      </c>
      <c r="I16" s="12"/>
      <c r="J16" s="12"/>
      <c r="K16" s="12"/>
      <c r="L16" s="12"/>
      <c r="M16" s="12" t="s">
        <v>350</v>
      </c>
      <c r="N16" s="12"/>
      <c r="O16" s="12"/>
      <c r="P16" s="12"/>
      <c r="Q16" s="12"/>
      <c r="R16" s="27" t="n">
        <f aca="false">COUNTIF(C16:Q16,"*A*")</f>
        <v>1</v>
      </c>
      <c r="S16" s="27" t="n">
        <f aca="false">COUNTIF(C16:Q16,"*R*")</f>
        <v>1</v>
      </c>
      <c r="T16" s="14" t="str">
        <f aca="false">IF(AND(R16=1,S16&gt;=1),"OK","REVISAR")</f>
        <v>OK</v>
      </c>
    </row>
    <row r="17" customFormat="false" ht="15" hidden="false" customHeight="false" outlineLevel="0" collapsed="false">
      <c r="A17" s="14" t="s">
        <v>367</v>
      </c>
      <c r="B17" s="6" t="s">
        <v>368</v>
      </c>
      <c r="C17" s="12"/>
      <c r="D17" s="12"/>
      <c r="E17" s="12" t="s">
        <v>362</v>
      </c>
      <c r="F17" s="12"/>
      <c r="G17" s="12" t="s">
        <v>344</v>
      </c>
      <c r="H17" s="12" t="s">
        <v>345</v>
      </c>
      <c r="I17" s="12"/>
      <c r="J17" s="12"/>
      <c r="K17" s="12"/>
      <c r="L17" s="12"/>
      <c r="M17" s="12"/>
      <c r="N17" s="12" t="s">
        <v>350</v>
      </c>
      <c r="O17" s="12"/>
      <c r="P17" s="12"/>
      <c r="Q17" s="12"/>
      <c r="R17" s="27" t="n">
        <f aca="false">COUNTIF(C17:Q17,"*A*")</f>
        <v>1</v>
      </c>
      <c r="S17" s="27" t="n">
        <f aca="false">COUNTIF(C17:Q17,"*R*")</f>
        <v>1</v>
      </c>
      <c r="T17" s="14" t="str">
        <f aca="false">IF(AND(R17=1,S17&gt;=1),"OK","REVISAR")</f>
        <v>OK</v>
      </c>
    </row>
    <row r="18" customFormat="false" ht="15" hidden="false" customHeight="false" outlineLevel="0" collapsed="false">
      <c r="A18" s="14" t="s">
        <v>369</v>
      </c>
      <c r="B18" s="6" t="s">
        <v>370</v>
      </c>
      <c r="C18" s="12"/>
      <c r="D18" s="12"/>
      <c r="E18" s="12" t="s">
        <v>362</v>
      </c>
      <c r="F18" s="12" t="s">
        <v>344</v>
      </c>
      <c r="G18" s="12" t="s">
        <v>350</v>
      </c>
      <c r="H18" s="12"/>
      <c r="I18" s="12"/>
      <c r="J18" s="12"/>
      <c r="K18" s="12"/>
      <c r="L18" s="12"/>
      <c r="M18" s="12" t="s">
        <v>345</v>
      </c>
      <c r="N18" s="12" t="s">
        <v>345</v>
      </c>
      <c r="O18" s="12"/>
      <c r="P18" s="12"/>
      <c r="Q18" s="12"/>
      <c r="R18" s="27" t="n">
        <f aca="false">COUNTIF(C18:Q18,"*A*")</f>
        <v>1</v>
      </c>
      <c r="S18" s="27" t="n">
        <f aca="false">COUNTIF(C18:Q18,"*R*")</f>
        <v>1</v>
      </c>
      <c r="T18" s="14" t="str">
        <f aca="false">IF(AND(R18=1,S18&gt;=1),"OK","REVISAR")</f>
        <v>OK</v>
      </c>
    </row>
    <row r="19" customFormat="false" ht="15" hidden="false" customHeight="false" outlineLevel="0" collapsed="false">
      <c r="A19" s="14" t="s">
        <v>371</v>
      </c>
      <c r="B19" s="6" t="s">
        <v>372</v>
      </c>
      <c r="C19" s="12"/>
      <c r="D19" s="12"/>
      <c r="E19" s="12" t="s">
        <v>362</v>
      </c>
      <c r="F19" s="12"/>
      <c r="G19" s="12" t="s">
        <v>344</v>
      </c>
      <c r="H19" s="12" t="s">
        <v>345</v>
      </c>
      <c r="I19" s="12"/>
      <c r="J19" s="12"/>
      <c r="K19" s="12"/>
      <c r="L19" s="12" t="s">
        <v>345</v>
      </c>
      <c r="M19" s="12"/>
      <c r="N19" s="12"/>
      <c r="O19" s="12"/>
      <c r="P19" s="12"/>
      <c r="Q19" s="12"/>
      <c r="R19" s="27" t="n">
        <f aca="false">COUNTIF(C19:Q19,"*A*")</f>
        <v>1</v>
      </c>
      <c r="S19" s="27" t="n">
        <f aca="false">COUNTIF(C19:Q19,"*R*")</f>
        <v>1</v>
      </c>
      <c r="T19" s="14" t="str">
        <f aca="false">IF(AND(R19=1,S19&gt;=1),"OK","REVISAR")</f>
        <v>OK</v>
      </c>
    </row>
    <row r="20" customFormat="false" ht="15" hidden="false" customHeight="false" outlineLevel="0" collapsed="false">
      <c r="A20" s="14" t="s">
        <v>373</v>
      </c>
      <c r="B20" s="6" t="s">
        <v>374</v>
      </c>
      <c r="C20" s="12"/>
      <c r="D20" s="12"/>
      <c r="E20" s="12" t="s">
        <v>362</v>
      </c>
      <c r="F20" s="12" t="s">
        <v>345</v>
      </c>
      <c r="G20" s="12" t="s">
        <v>344</v>
      </c>
      <c r="H20" s="12" t="s">
        <v>345</v>
      </c>
      <c r="I20" s="12"/>
      <c r="J20" s="12"/>
      <c r="K20" s="12"/>
      <c r="L20" s="12"/>
      <c r="M20" s="12"/>
      <c r="N20" s="12"/>
      <c r="O20" s="12"/>
      <c r="P20" s="12"/>
      <c r="Q20" s="12"/>
      <c r="R20" s="27" t="n">
        <f aca="false">COUNTIF(C20:Q20,"*A*")</f>
        <v>1</v>
      </c>
      <c r="S20" s="27" t="n">
        <f aca="false">COUNTIF(C20:Q20,"*R*")</f>
        <v>1</v>
      </c>
      <c r="T20" s="14" t="str">
        <f aca="false">IF(AND(R20=1,S20&gt;=1),"OK","REVISAR")</f>
        <v>OK</v>
      </c>
    </row>
    <row r="21" customFormat="false" ht="15" hidden="false" customHeight="false" outlineLevel="0" collapsed="false">
      <c r="A21" s="14" t="s">
        <v>375</v>
      </c>
      <c r="B21" s="6" t="s">
        <v>376</v>
      </c>
      <c r="C21" s="12"/>
      <c r="D21" s="12" t="s">
        <v>350</v>
      </c>
      <c r="E21" s="12"/>
      <c r="F21" s="12"/>
      <c r="G21" s="12"/>
      <c r="H21" s="12"/>
      <c r="I21" s="12" t="s">
        <v>344</v>
      </c>
      <c r="J21" s="12"/>
      <c r="K21" s="12"/>
      <c r="L21" s="12" t="s">
        <v>351</v>
      </c>
      <c r="M21" s="12"/>
      <c r="N21" s="12"/>
      <c r="O21" s="12" t="s">
        <v>345</v>
      </c>
      <c r="P21" s="12"/>
      <c r="Q21" s="12"/>
      <c r="R21" s="27" t="n">
        <f aca="false">COUNTIF(C21:Q21,"*A*")</f>
        <v>1</v>
      </c>
      <c r="S21" s="27" t="n">
        <f aca="false">COUNTIF(C21:Q21,"*R*")</f>
        <v>2</v>
      </c>
      <c r="T21" s="14" t="str">
        <f aca="false">IF(AND(R21=1,S21&gt;=1),"OK","REVISAR")</f>
        <v>OK</v>
      </c>
    </row>
    <row r="22" customFormat="false" ht="15" hidden="false" customHeight="false" outlineLevel="0" collapsed="false">
      <c r="A22" s="14" t="s">
        <v>377</v>
      </c>
      <c r="B22" s="6" t="s">
        <v>378</v>
      </c>
      <c r="C22" s="12"/>
      <c r="D22" s="12" t="s">
        <v>350</v>
      </c>
      <c r="E22" s="12"/>
      <c r="F22" s="12"/>
      <c r="G22" s="12"/>
      <c r="H22" s="12"/>
      <c r="I22" s="12" t="s">
        <v>344</v>
      </c>
      <c r="J22" s="12"/>
      <c r="K22" s="12"/>
      <c r="L22" s="12" t="s">
        <v>362</v>
      </c>
      <c r="M22" s="12"/>
      <c r="N22" s="12" t="s">
        <v>345</v>
      </c>
      <c r="O22" s="12"/>
      <c r="P22" s="12"/>
      <c r="Q22" s="12"/>
      <c r="R22" s="27" t="n">
        <f aca="false">COUNTIF(C22:Q22,"*A*")</f>
        <v>1</v>
      </c>
      <c r="S22" s="27" t="n">
        <f aca="false">COUNTIF(C22:Q22,"*R*")</f>
        <v>1</v>
      </c>
      <c r="T22" s="14" t="str">
        <f aca="false">IF(AND(R22=1,S22&gt;=1),"OK","REVISAR")</f>
        <v>OK</v>
      </c>
    </row>
    <row r="23" customFormat="false" ht="15" hidden="false" customHeight="false" outlineLevel="0" collapsed="false">
      <c r="A23" s="14" t="s">
        <v>379</v>
      </c>
      <c r="B23" s="6" t="s">
        <v>380</v>
      </c>
      <c r="C23" s="12"/>
      <c r="D23" s="12"/>
      <c r="E23" s="12"/>
      <c r="F23" s="12"/>
      <c r="G23" s="12"/>
      <c r="H23" s="12" t="s">
        <v>350</v>
      </c>
      <c r="I23" s="12" t="s">
        <v>344</v>
      </c>
      <c r="J23" s="12"/>
      <c r="K23" s="12"/>
      <c r="L23" s="12" t="s">
        <v>362</v>
      </c>
      <c r="M23" s="12"/>
      <c r="N23" s="12"/>
      <c r="O23" s="12"/>
      <c r="P23" s="12"/>
      <c r="Q23" s="12"/>
      <c r="R23" s="27" t="n">
        <f aca="false">COUNTIF(C23:Q23,"*A*")</f>
        <v>1</v>
      </c>
      <c r="S23" s="27" t="n">
        <f aca="false">COUNTIF(C23:Q23,"*R*")</f>
        <v>1</v>
      </c>
      <c r="T23" s="14" t="str">
        <f aca="false">IF(AND(R23=1,S23&gt;=1),"OK","REVISAR")</f>
        <v>OK</v>
      </c>
    </row>
    <row r="24" customFormat="false" ht="15" hidden="false" customHeight="false" outlineLevel="0" collapsed="false">
      <c r="A24" s="14" t="s">
        <v>381</v>
      </c>
      <c r="B24" s="6" t="s">
        <v>382</v>
      </c>
      <c r="C24" s="12"/>
      <c r="D24" s="12" t="s">
        <v>350</v>
      </c>
      <c r="E24" s="12"/>
      <c r="F24" s="12"/>
      <c r="G24" s="12"/>
      <c r="H24" s="12" t="s">
        <v>345</v>
      </c>
      <c r="I24" s="12" t="s">
        <v>344</v>
      </c>
      <c r="J24" s="12"/>
      <c r="K24" s="12"/>
      <c r="L24" s="12" t="s">
        <v>345</v>
      </c>
      <c r="M24" s="12"/>
      <c r="N24" s="12"/>
      <c r="O24" s="12" t="s">
        <v>340</v>
      </c>
      <c r="P24" s="12" t="s">
        <v>344</v>
      </c>
      <c r="Q24" s="12"/>
      <c r="R24" s="27" t="n">
        <f aca="false">COUNTIF(C24:Q24,"*A*")</f>
        <v>1</v>
      </c>
      <c r="S24" s="27" t="n">
        <f aca="false">COUNTIF(C24:Q24,"*R*")</f>
        <v>2</v>
      </c>
      <c r="T24" s="14" t="str">
        <f aca="false">IF(AND(R24=1,S24&gt;=1),"OK","REVISAR")</f>
        <v>OK</v>
      </c>
    </row>
    <row r="25" customFormat="false" ht="15" hidden="false" customHeight="false" outlineLevel="0" collapsed="false">
      <c r="A25" s="14" t="s">
        <v>383</v>
      </c>
      <c r="B25" s="6" t="s">
        <v>384</v>
      </c>
      <c r="C25" s="12"/>
      <c r="D25" s="12"/>
      <c r="E25" s="12" t="s">
        <v>350</v>
      </c>
      <c r="F25" s="12"/>
      <c r="G25" s="12"/>
      <c r="H25" s="12" t="s">
        <v>344</v>
      </c>
      <c r="I25" s="12" t="s">
        <v>344</v>
      </c>
      <c r="J25" s="12" t="s">
        <v>345</v>
      </c>
      <c r="K25" s="12"/>
      <c r="L25" s="12" t="s">
        <v>340</v>
      </c>
      <c r="M25" s="12"/>
      <c r="N25" s="12"/>
      <c r="O25" s="12"/>
      <c r="P25" s="12"/>
      <c r="Q25" s="12"/>
      <c r="R25" s="27" t="n">
        <f aca="false">COUNTIF(C25:Q25,"*A*")</f>
        <v>1</v>
      </c>
      <c r="S25" s="27" t="n">
        <f aca="false">COUNTIF(C25:Q25,"*R*")</f>
        <v>2</v>
      </c>
      <c r="T25" s="14" t="str">
        <f aca="false">IF(AND(R25=1,S25&gt;=1),"OK","REVISAR")</f>
        <v>OK</v>
      </c>
    </row>
    <row r="26" customFormat="false" ht="15" hidden="false" customHeight="false" outlineLevel="0" collapsed="false">
      <c r="A26" s="14" t="s">
        <v>385</v>
      </c>
      <c r="B26" s="6" t="s">
        <v>386</v>
      </c>
      <c r="C26" s="12" t="s">
        <v>350</v>
      </c>
      <c r="D26" s="12"/>
      <c r="E26" s="12"/>
      <c r="F26" s="12"/>
      <c r="G26" s="12"/>
      <c r="H26" s="12"/>
      <c r="I26" s="12"/>
      <c r="J26" s="12"/>
      <c r="K26" s="12" t="s">
        <v>344</v>
      </c>
      <c r="L26" s="12"/>
      <c r="M26" s="12" t="s">
        <v>345</v>
      </c>
      <c r="N26" s="12" t="s">
        <v>362</v>
      </c>
      <c r="O26" s="12"/>
      <c r="P26" s="12"/>
      <c r="Q26" s="12"/>
      <c r="R26" s="27" t="n">
        <f aca="false">COUNTIF(C26:Q26,"*A*")</f>
        <v>1</v>
      </c>
      <c r="S26" s="27" t="n">
        <f aca="false">COUNTIF(C26:Q26,"*R*")</f>
        <v>1</v>
      </c>
      <c r="T26" s="14" t="str">
        <f aca="false">IF(AND(R26=1,S26&gt;=1),"OK","REVISAR")</f>
        <v>OK</v>
      </c>
    </row>
    <row r="27" customFormat="false" ht="15" hidden="false" customHeight="false" outlineLevel="0" collapsed="false">
      <c r="A27" s="14" t="s">
        <v>387</v>
      </c>
      <c r="B27" s="6" t="s">
        <v>388</v>
      </c>
      <c r="C27" s="12" t="s">
        <v>389</v>
      </c>
      <c r="D27" s="12"/>
      <c r="E27" s="12"/>
      <c r="F27" s="12"/>
      <c r="G27" s="12"/>
      <c r="H27" s="12"/>
      <c r="I27" s="12"/>
      <c r="J27" s="12"/>
      <c r="K27" s="12" t="s">
        <v>344</v>
      </c>
      <c r="L27" s="12"/>
      <c r="M27" s="12" t="s">
        <v>345</v>
      </c>
      <c r="N27" s="12" t="s">
        <v>362</v>
      </c>
      <c r="O27" s="12" t="s">
        <v>345</v>
      </c>
      <c r="P27" s="12"/>
      <c r="Q27" s="12"/>
      <c r="R27" s="27" t="n">
        <f aca="false">COUNTIF(C27:Q27,"*A*")</f>
        <v>1</v>
      </c>
      <c r="S27" s="27" t="n">
        <f aca="false">COUNTIF(C27:Q27,"*R*")</f>
        <v>1</v>
      </c>
      <c r="T27" s="14" t="str">
        <f aca="false">IF(AND(R27=1,S27&gt;=1),"OK","REVISAR")</f>
        <v>OK</v>
      </c>
    </row>
    <row r="28" customFormat="false" ht="15" hidden="false" customHeight="false" outlineLevel="0" collapsed="false">
      <c r="A28" s="14" t="s">
        <v>390</v>
      </c>
      <c r="B28" s="6" t="s">
        <v>391</v>
      </c>
      <c r="C28" s="12" t="s">
        <v>350</v>
      </c>
      <c r="D28" s="12"/>
      <c r="E28" s="12" t="s">
        <v>345</v>
      </c>
      <c r="F28" s="12"/>
      <c r="G28" s="12"/>
      <c r="H28" s="12"/>
      <c r="I28" s="12"/>
      <c r="J28" s="12"/>
      <c r="K28" s="12" t="s">
        <v>344</v>
      </c>
      <c r="L28" s="12"/>
      <c r="M28" s="12"/>
      <c r="N28" s="12" t="s">
        <v>362</v>
      </c>
      <c r="O28" s="12"/>
      <c r="P28" s="12"/>
      <c r="Q28" s="12" t="s">
        <v>344</v>
      </c>
      <c r="R28" s="27" t="n">
        <f aca="false">COUNTIF(C28:Q28,"*A*")</f>
        <v>1</v>
      </c>
      <c r="S28" s="27" t="n">
        <f aca="false">COUNTIF(C28:Q28,"*R*")</f>
        <v>2</v>
      </c>
      <c r="T28" s="14" t="str">
        <f aca="false">IF(AND(R28=1,S28&gt;=1),"OK","REVISAR")</f>
        <v>OK</v>
      </c>
    </row>
    <row r="29" customFormat="false" ht="15" hidden="false" customHeight="false" outlineLevel="0" collapsed="false">
      <c r="A29" s="14" t="s">
        <v>392</v>
      </c>
      <c r="B29" s="6" t="s">
        <v>393</v>
      </c>
      <c r="C29" s="12"/>
      <c r="D29" s="12"/>
      <c r="E29" s="12" t="s">
        <v>345</v>
      </c>
      <c r="F29" s="12"/>
      <c r="G29" s="12"/>
      <c r="H29" s="12"/>
      <c r="I29" s="12"/>
      <c r="J29" s="12"/>
      <c r="K29" s="12" t="s">
        <v>344</v>
      </c>
      <c r="L29" s="12"/>
      <c r="M29" s="12"/>
      <c r="N29" s="12" t="s">
        <v>362</v>
      </c>
      <c r="O29" s="12"/>
      <c r="P29" s="12"/>
      <c r="Q29" s="12" t="s">
        <v>345</v>
      </c>
      <c r="R29" s="27" t="n">
        <f aca="false">COUNTIF(C29:Q29,"*A*")</f>
        <v>1</v>
      </c>
      <c r="S29" s="27" t="n">
        <f aca="false">COUNTIF(C29:Q29,"*R*")</f>
        <v>1</v>
      </c>
      <c r="T29" s="14" t="str">
        <f aca="false">IF(AND(R29=1,S29&gt;=1),"OK","REVISAR")</f>
        <v>OK</v>
      </c>
    </row>
    <row r="30" customFormat="false" ht="15" hidden="false" customHeight="false" outlineLevel="0" collapsed="false">
      <c r="A30" s="14" t="s">
        <v>394</v>
      </c>
      <c r="B30" s="6" t="s">
        <v>395</v>
      </c>
      <c r="C30" s="12"/>
      <c r="D30" s="12"/>
      <c r="E30" s="12" t="s">
        <v>345</v>
      </c>
      <c r="F30" s="12"/>
      <c r="G30" s="12"/>
      <c r="H30" s="12"/>
      <c r="I30" s="12"/>
      <c r="J30" s="12"/>
      <c r="K30" s="12" t="s">
        <v>344</v>
      </c>
      <c r="L30" s="12" t="s">
        <v>345</v>
      </c>
      <c r="M30" s="12"/>
      <c r="N30" s="12" t="s">
        <v>362</v>
      </c>
      <c r="O30" s="12"/>
      <c r="P30" s="12"/>
      <c r="Q30" s="12" t="s">
        <v>344</v>
      </c>
      <c r="R30" s="27" t="n">
        <f aca="false">COUNTIF(C30:Q30,"*A*")</f>
        <v>1</v>
      </c>
      <c r="S30" s="27" t="n">
        <f aca="false">COUNTIF(C30:Q30,"*R*")</f>
        <v>2</v>
      </c>
      <c r="T30" s="14" t="str">
        <f aca="false">IF(AND(R30=1,S30&gt;=1),"OK","REVISAR")</f>
        <v>OK</v>
      </c>
    </row>
    <row r="31" customFormat="false" ht="15" hidden="false" customHeight="false" outlineLevel="0" collapsed="false">
      <c r="A31" s="14" t="s">
        <v>396</v>
      </c>
      <c r="B31" s="6" t="s">
        <v>397</v>
      </c>
      <c r="C31" s="12"/>
      <c r="D31" s="12"/>
      <c r="E31" s="12"/>
      <c r="F31" s="12"/>
      <c r="G31" s="12"/>
      <c r="H31" s="12"/>
      <c r="I31" s="12" t="s">
        <v>345</v>
      </c>
      <c r="J31" s="12" t="s">
        <v>344</v>
      </c>
      <c r="K31" s="12"/>
      <c r="L31" s="12" t="s">
        <v>362</v>
      </c>
      <c r="M31" s="12"/>
      <c r="N31" s="12"/>
      <c r="O31" s="12" t="s">
        <v>345</v>
      </c>
      <c r="P31" s="12"/>
      <c r="Q31" s="12"/>
      <c r="R31" s="27" t="n">
        <f aca="false">COUNTIF(C31:Q31,"*A*")</f>
        <v>1</v>
      </c>
      <c r="S31" s="27" t="n">
        <f aca="false">COUNTIF(C31:Q31,"*R*")</f>
        <v>1</v>
      </c>
      <c r="T31" s="14" t="str">
        <f aca="false">IF(AND(R31=1,S31&gt;=1),"OK","REVISAR")</f>
        <v>OK</v>
      </c>
    </row>
    <row r="32" customFormat="false" ht="15" hidden="false" customHeight="false" outlineLevel="0" collapsed="false">
      <c r="A32" s="14" t="s">
        <v>398</v>
      </c>
      <c r="B32" s="6" t="s">
        <v>399</v>
      </c>
      <c r="C32" s="12"/>
      <c r="D32" s="12" t="s">
        <v>345</v>
      </c>
      <c r="E32" s="12" t="s">
        <v>351</v>
      </c>
      <c r="F32" s="12" t="s">
        <v>345</v>
      </c>
      <c r="G32" s="12" t="s">
        <v>344</v>
      </c>
      <c r="H32" s="12" t="s">
        <v>344</v>
      </c>
      <c r="I32" s="12"/>
      <c r="J32" s="12"/>
      <c r="K32" s="12"/>
      <c r="L32" s="12" t="s">
        <v>345</v>
      </c>
      <c r="M32" s="12" t="s">
        <v>345</v>
      </c>
      <c r="N32" s="12" t="s">
        <v>345</v>
      </c>
      <c r="O32" s="12"/>
      <c r="P32" s="12"/>
      <c r="Q32" s="12"/>
      <c r="R32" s="27" t="n">
        <f aca="false">COUNTIF(C32:Q32,"*A*")</f>
        <v>1</v>
      </c>
      <c r="S32" s="27" t="n">
        <f aca="false">COUNTIF(C32:Q32,"*R*")</f>
        <v>3</v>
      </c>
      <c r="T32" s="14" t="str">
        <f aca="false">IF(AND(R32=1,S32&gt;=1),"OK","REVISAR")</f>
        <v>OK</v>
      </c>
    </row>
    <row r="33" customFormat="false" ht="15" hidden="false" customHeight="false" outlineLevel="0" collapsed="false">
      <c r="A33" s="14" t="s">
        <v>400</v>
      </c>
      <c r="B33" s="6" t="s">
        <v>401</v>
      </c>
      <c r="C33" s="12" t="s">
        <v>389</v>
      </c>
      <c r="D33" s="12" t="s">
        <v>350</v>
      </c>
      <c r="E33" s="12" t="s">
        <v>344</v>
      </c>
      <c r="F33" s="12"/>
      <c r="G33" s="12"/>
      <c r="H33" s="12" t="s">
        <v>344</v>
      </c>
      <c r="I33" s="12"/>
      <c r="J33" s="12"/>
      <c r="K33" s="12"/>
      <c r="L33" s="12" t="s">
        <v>345</v>
      </c>
      <c r="M33" s="12" t="s">
        <v>345</v>
      </c>
      <c r="N33" s="12" t="s">
        <v>340</v>
      </c>
      <c r="O33" s="12"/>
      <c r="P33" s="12"/>
      <c r="Q33" s="12"/>
      <c r="R33" s="27" t="n">
        <f aca="false">COUNTIF(C33:Q33,"*A*")</f>
        <v>1</v>
      </c>
      <c r="S33" s="27" t="n">
        <f aca="false">COUNTIF(C33:Q33,"*R*")</f>
        <v>2</v>
      </c>
      <c r="T33" s="14" t="str">
        <f aca="false">IF(AND(R33=1,S33&gt;=1),"OK","REVISAR")</f>
        <v>OK</v>
      </c>
    </row>
    <row r="34" customFormat="false" ht="15" hidden="false" customHeight="false" outlineLevel="0" collapsed="false">
      <c r="A34" s="14" t="s">
        <v>402</v>
      </c>
      <c r="B34" s="6" t="s">
        <v>403</v>
      </c>
      <c r="C34" s="12" t="s">
        <v>350</v>
      </c>
      <c r="D34" s="12" t="s">
        <v>362</v>
      </c>
      <c r="E34" s="12" t="s">
        <v>345</v>
      </c>
      <c r="F34" s="12" t="s">
        <v>345</v>
      </c>
      <c r="G34" s="12" t="s">
        <v>344</v>
      </c>
      <c r="H34" s="12" t="s">
        <v>344</v>
      </c>
      <c r="I34" s="12"/>
      <c r="J34" s="12" t="s">
        <v>344</v>
      </c>
      <c r="K34" s="12"/>
      <c r="L34" s="12" t="s">
        <v>345</v>
      </c>
      <c r="M34" s="12" t="s">
        <v>350</v>
      </c>
      <c r="N34" s="12" t="s">
        <v>345</v>
      </c>
      <c r="O34" s="12"/>
      <c r="P34" s="12"/>
      <c r="Q34" s="12"/>
      <c r="R34" s="27" t="n">
        <f aca="false">COUNTIF(C34:Q34,"*A*")</f>
        <v>1</v>
      </c>
      <c r="S34" s="27" t="n">
        <f aca="false">COUNTIF(C34:Q34,"*R*")</f>
        <v>3</v>
      </c>
      <c r="T34" s="14" t="str">
        <f aca="false">IF(AND(R34=1,S34&gt;=1),"OK","REVISAR")</f>
        <v>OK</v>
      </c>
    </row>
    <row r="35" customFormat="false" ht="15" hidden="false" customHeight="false" outlineLevel="0" collapsed="false">
      <c r="A35" s="14" t="s">
        <v>404</v>
      </c>
      <c r="B35" s="6" t="s">
        <v>405</v>
      </c>
      <c r="C35" s="12"/>
      <c r="D35" s="12"/>
      <c r="E35" s="12" t="s">
        <v>351</v>
      </c>
      <c r="F35" s="12"/>
      <c r="G35" s="12" t="s">
        <v>344</v>
      </c>
      <c r="H35" s="12"/>
      <c r="I35" s="12"/>
      <c r="J35" s="12"/>
      <c r="K35" s="12"/>
      <c r="L35" s="12" t="s">
        <v>345</v>
      </c>
      <c r="M35" s="12" t="s">
        <v>389</v>
      </c>
      <c r="N35" s="12" t="s">
        <v>406</v>
      </c>
      <c r="O35" s="12"/>
      <c r="P35" s="12"/>
      <c r="Q35" s="12"/>
      <c r="R35" s="27" t="n">
        <f aca="false">COUNTIF(C35:Q35,"*A*")</f>
        <v>1</v>
      </c>
      <c r="S35" s="27" t="n">
        <f aca="false">COUNTIF(C35:Q35,"*R*")</f>
        <v>2</v>
      </c>
      <c r="T35" s="14" t="str">
        <f aca="false">IF(AND(R35=1,S35&gt;=1),"OK","REVISAR")</f>
        <v>OK</v>
      </c>
    </row>
    <row r="36" customFormat="false" ht="15" hidden="false" customHeight="false" outlineLevel="0" collapsed="false">
      <c r="A36" s="14" t="s">
        <v>407</v>
      </c>
      <c r="B36" s="6" t="s">
        <v>408</v>
      </c>
      <c r="C36" s="12" t="s">
        <v>350</v>
      </c>
      <c r="D36" s="12"/>
      <c r="E36" s="12" t="s">
        <v>344</v>
      </c>
      <c r="F36" s="12"/>
      <c r="G36" s="12" t="s">
        <v>345</v>
      </c>
      <c r="H36" s="12"/>
      <c r="I36" s="12"/>
      <c r="J36" s="12"/>
      <c r="K36" s="12"/>
      <c r="L36" s="12"/>
      <c r="M36" s="12" t="s">
        <v>340</v>
      </c>
      <c r="N36" s="12"/>
      <c r="O36" s="12"/>
      <c r="P36" s="12"/>
      <c r="Q36" s="12"/>
      <c r="R36" s="27" t="n">
        <f aca="false">COUNTIF(C36:Q36,"*A*")</f>
        <v>1</v>
      </c>
      <c r="S36" s="27" t="n">
        <f aca="false">COUNTIF(C36:Q36,"*R*")</f>
        <v>1</v>
      </c>
      <c r="T36" s="14" t="str">
        <f aca="false">IF(AND(R36=1,S36&gt;=1),"OK","REVISAR")</f>
        <v>OK</v>
      </c>
    </row>
    <row r="37" customFormat="false" ht="15" hidden="false" customHeight="false" outlineLevel="0" collapsed="false">
      <c r="B37" s="4" t="s">
        <v>409</v>
      </c>
      <c r="C37" s="14" t="n">
        <f aca="false">COUNTIF(C6:C36,"*A*")</f>
        <v>4</v>
      </c>
      <c r="D37" s="14" t="n">
        <f aca="false">COUNTIF(D6:D36,"*A*")</f>
        <v>3</v>
      </c>
      <c r="E37" s="14" t="n">
        <f aca="false">COUNTIF(E6:E36,"*A*")</f>
        <v>10</v>
      </c>
      <c r="F37" s="14" t="n">
        <f aca="false">COUNTIF(F6:F36,"*A*")</f>
        <v>0</v>
      </c>
      <c r="G37" s="14" t="n">
        <f aca="false">COUNTIF(G6:G36,"*A*")</f>
        <v>0</v>
      </c>
      <c r="H37" s="14" t="n">
        <f aca="false">COUNTIF(H6:H36,"*A*")</f>
        <v>0</v>
      </c>
      <c r="I37" s="14" t="n">
        <f aca="false">COUNTIF(I6:I36,"*A*")</f>
        <v>0</v>
      </c>
      <c r="J37" s="14" t="n">
        <f aca="false">COUNTIF(J6:J36,"*A*")</f>
        <v>0</v>
      </c>
      <c r="K37" s="14" t="n">
        <f aca="false">COUNTIF(K6:K36,"*A*")</f>
        <v>0</v>
      </c>
      <c r="L37" s="14" t="n">
        <f aca="false">COUNTIF(L6:L36,"*A*")</f>
        <v>5</v>
      </c>
      <c r="M37" s="14" t="n">
        <f aca="false">COUNTIF(M6:M36,"*A*")</f>
        <v>2</v>
      </c>
      <c r="N37" s="14" t="n">
        <f aca="false">COUNTIF(N6:N36,"*A*")</f>
        <v>6</v>
      </c>
      <c r="O37" s="14" t="n">
        <f aca="false">COUNTIF(O6:O36,"*A*")</f>
        <v>1</v>
      </c>
      <c r="P37" s="14" t="n">
        <f aca="false">COUNTIF(P6:P36,"*A*")</f>
        <v>0</v>
      </c>
      <c r="Q37" s="14" t="n">
        <f aca="false">COUNTIF(Q6:Q36,"*A*")</f>
        <v>0</v>
      </c>
    </row>
    <row r="38" customFormat="false" ht="15" hidden="false" customHeight="false" outlineLevel="0" collapsed="false">
      <c r="B38" s="4" t="s">
        <v>410</v>
      </c>
      <c r="C38" s="14" t="n">
        <f aca="false">COUNTIF(C6:C36,"*R*")</f>
        <v>0</v>
      </c>
      <c r="D38" s="14" t="n">
        <f aca="false">COUNTIF(D6:D36,"*R*")</f>
        <v>6</v>
      </c>
      <c r="E38" s="14" t="n">
        <f aca="false">COUNTIF(E6:E36,"*R*")</f>
        <v>5</v>
      </c>
      <c r="F38" s="14" t="n">
        <f aca="false">COUNTIF(F6:F36,"*R*")</f>
        <v>1</v>
      </c>
      <c r="G38" s="14" t="n">
        <f aca="false">COUNTIF(G6:G36,"*R*")</f>
        <v>9</v>
      </c>
      <c r="H38" s="14" t="n">
        <f aca="false">COUNTIF(H6:H36,"*R*")</f>
        <v>4</v>
      </c>
      <c r="I38" s="14" t="n">
        <f aca="false">COUNTIF(I6:I36,"*R*")</f>
        <v>5</v>
      </c>
      <c r="J38" s="14" t="n">
        <f aca="false">COUNTIF(J6:J36,"*R*")</f>
        <v>3</v>
      </c>
      <c r="K38" s="14" t="n">
        <f aca="false">COUNTIF(K6:K36,"*R*")</f>
        <v>5</v>
      </c>
      <c r="L38" s="14" t="n">
        <f aca="false">COUNTIF(L6:L36,"*R*")</f>
        <v>1</v>
      </c>
      <c r="M38" s="14" t="n">
        <f aca="false">COUNTIF(M6:M36,"*R*")</f>
        <v>1</v>
      </c>
      <c r="N38" s="14" t="n">
        <f aca="false">COUNTIF(N6:N36,"*R*")</f>
        <v>0</v>
      </c>
      <c r="O38" s="14" t="n">
        <f aca="false">COUNTIF(O6:O36,"*R*")</f>
        <v>0</v>
      </c>
      <c r="P38" s="14" t="n">
        <f aca="false">COUNTIF(P6:P36,"*R*")</f>
        <v>1</v>
      </c>
      <c r="Q38" s="14" t="n">
        <f aca="false">COUNTIF(Q6:Q36,"*R*")</f>
        <v>2</v>
      </c>
    </row>
    <row r="39" customFormat="false" ht="15" hidden="false" customHeight="false" outlineLevel="0" collapsed="false">
      <c r="B39" s="4" t="s">
        <v>411</v>
      </c>
      <c r="C39" s="14" t="n">
        <f aca="false">COUNTIF(C6:C36,"*S*")</f>
        <v>6</v>
      </c>
      <c r="D39" s="14" t="n">
        <f aca="false">COUNTIF(D6:D36,"*S*")</f>
        <v>1</v>
      </c>
      <c r="E39" s="14" t="n">
        <f aca="false">COUNTIF(E6:E36,"*S*")</f>
        <v>0</v>
      </c>
      <c r="F39" s="14" t="n">
        <f aca="false">COUNTIF(F6:F36,"*S*")</f>
        <v>0</v>
      </c>
      <c r="G39" s="14" t="n">
        <f aca="false">COUNTIF(G6:G36,"*S*")</f>
        <v>0</v>
      </c>
      <c r="H39" s="14" t="n">
        <f aca="false">COUNTIF(H6:H36,"*S*")</f>
        <v>0</v>
      </c>
      <c r="I39" s="14" t="n">
        <f aca="false">COUNTIF(I6:I36,"*S*")</f>
        <v>0</v>
      </c>
      <c r="J39" s="14" t="n">
        <f aca="false">COUNTIF(J6:J36,"*S*")</f>
        <v>0</v>
      </c>
      <c r="K39" s="14" t="n">
        <f aca="false">COUNTIF(K6:K36,"*S*")</f>
        <v>0</v>
      </c>
      <c r="L39" s="14" t="n">
        <f aca="false">COUNTIF(L6:L36,"*S*")</f>
        <v>1</v>
      </c>
      <c r="M39" s="14" t="n">
        <f aca="false">COUNTIF(M6:M36,"*S*")</f>
        <v>2</v>
      </c>
      <c r="N39" s="14" t="n">
        <f aca="false">COUNTIF(N6:N36,"*S*")</f>
        <v>2</v>
      </c>
      <c r="O39" s="14" t="n">
        <f aca="false">COUNTIF(O6:O36,"*S*")</f>
        <v>1</v>
      </c>
      <c r="P39" s="14" t="n">
        <f aca="false">COUNTIF(P6:P36,"*S*")</f>
        <v>0</v>
      </c>
      <c r="Q39" s="14" t="n">
        <f aca="false">COUNTIF(Q6:Q36,"*S*")</f>
        <v>0</v>
      </c>
    </row>
    <row r="41" customFormat="false" ht="46.25" hidden="false" customHeight="false" outlineLevel="0" collapsed="false">
      <c r="B41" s="4" t="s">
        <v>412</v>
      </c>
      <c r="C41" s="4" t="str">
        <f aca="false">IF(COUNTIF(T6:T36,"OK")=31,"OK: 31 filas con un A y al menos un R","REVISAR")</f>
        <v>OK: 31 filas con un A y al menos un R</v>
      </c>
    </row>
  </sheetData>
  <conditionalFormatting sqref="C6:Q36">
    <cfRule type="expression" priority="2" aboveAverage="0" equalAverage="0" bottom="0" percent="0" rank="0" text="" dxfId="1">
      <formula>ISNUMBER(SEARCH("A",C6))</formula>
    </cfRule>
    <cfRule type="expression" priority="3" aboveAverage="0" equalAverage="0" bottom="0" percent="0" rank="0" text="" dxfId="2">
      <formula>ISNUMBER(SEARCH("R",C6))</formula>
    </cfRule>
  </conditionalFormatting>
  <conditionalFormatting sqref="T6:T36">
    <cfRule type="cellIs" priority="4" operator="equal" aboveAverage="0" equalAverage="0" bottom="0" percent="0" rank="0" text="" dxfId="3">
      <formula>"REVISAR"</formula>
    </cfRule>
  </conditionalFormatting>
  <dataValidations count="1">
    <dataValidation allowBlank="true" errorStyle="stop" operator="between" showDropDown="false" showErrorMessage="false" showInputMessage="false" sqref="C6:Q36" type="list">
      <formula1>"R,A,C,I,S,A,R,A,S,R,S,C,S"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1" t="s">
        <v>413</v>
      </c>
    </row>
    <row r="2" customFormat="false" ht="15" hidden="false" customHeight="false" outlineLevel="0" collapsed="false">
      <c r="A2" s="2" t="s">
        <v>414</v>
      </c>
    </row>
    <row r="4" customFormat="false" ht="15" hidden="false" customHeight="false" outlineLevel="0" collapsed="false">
      <c r="A4" s="3" t="s">
        <v>415</v>
      </c>
      <c r="B4" s="3" t="s">
        <v>416</v>
      </c>
      <c r="C4" s="3" t="s">
        <v>417</v>
      </c>
      <c r="D4" s="3" t="s">
        <v>418</v>
      </c>
      <c r="E4" s="3" t="s">
        <v>419</v>
      </c>
    </row>
    <row r="5" customFormat="false" ht="45" hidden="false" customHeight="true" outlineLevel="0" collapsed="false">
      <c r="A5" s="4" t="s">
        <v>310</v>
      </c>
      <c r="B5" s="6" t="s">
        <v>420</v>
      </c>
      <c r="C5" s="6" t="s">
        <v>421</v>
      </c>
      <c r="D5" s="6" t="s">
        <v>422</v>
      </c>
      <c r="E5" s="6" t="s">
        <v>423</v>
      </c>
    </row>
    <row r="6" customFormat="false" ht="45" hidden="false" customHeight="true" outlineLevel="0" collapsed="false">
      <c r="A6" s="4" t="s">
        <v>311</v>
      </c>
      <c r="B6" s="6" t="s">
        <v>424</v>
      </c>
      <c r="C6" s="6" t="s">
        <v>425</v>
      </c>
      <c r="D6" s="6" t="s">
        <v>426</v>
      </c>
      <c r="E6" s="6" t="s">
        <v>427</v>
      </c>
    </row>
    <row r="7" customFormat="false" ht="45" hidden="false" customHeight="true" outlineLevel="0" collapsed="false">
      <c r="A7" s="4" t="s">
        <v>428</v>
      </c>
      <c r="B7" s="6" t="s">
        <v>331</v>
      </c>
      <c r="C7" s="6" t="s">
        <v>429</v>
      </c>
      <c r="D7" s="6" t="s">
        <v>430</v>
      </c>
      <c r="E7" s="6" t="s">
        <v>431</v>
      </c>
    </row>
    <row r="8" customFormat="false" ht="45" hidden="false" customHeight="true" outlineLevel="0" collapsed="false">
      <c r="A8" s="4" t="s">
        <v>432</v>
      </c>
      <c r="B8" s="6" t="s">
        <v>331</v>
      </c>
      <c r="C8" s="6" t="s">
        <v>433</v>
      </c>
      <c r="D8" s="6" t="s">
        <v>434</v>
      </c>
      <c r="E8" s="6" t="s">
        <v>435</v>
      </c>
    </row>
    <row r="9" customFormat="false" ht="45" hidden="false" customHeight="true" outlineLevel="0" collapsed="false">
      <c r="A9" s="4" t="s">
        <v>436</v>
      </c>
      <c r="B9" s="6" t="s">
        <v>331</v>
      </c>
      <c r="C9" s="6" t="s">
        <v>437</v>
      </c>
      <c r="D9" s="6" t="s">
        <v>438</v>
      </c>
      <c r="E9" s="6" t="s">
        <v>439</v>
      </c>
    </row>
    <row r="10" customFormat="false" ht="45" hidden="false" customHeight="true" outlineLevel="0" collapsed="false">
      <c r="A10" s="4" t="s">
        <v>440</v>
      </c>
      <c r="B10" s="6" t="s">
        <v>331</v>
      </c>
      <c r="C10" s="6" t="s">
        <v>441</v>
      </c>
      <c r="D10" s="6" t="s">
        <v>442</v>
      </c>
      <c r="E10" s="6" t="s">
        <v>443</v>
      </c>
    </row>
    <row r="11" customFormat="false" ht="45" hidden="false" customHeight="true" outlineLevel="0" collapsed="false">
      <c r="A11" s="4" t="s">
        <v>444</v>
      </c>
      <c r="B11" s="6" t="s">
        <v>331</v>
      </c>
      <c r="C11" s="6" t="s">
        <v>445</v>
      </c>
      <c r="D11" s="6" t="s">
        <v>446</v>
      </c>
      <c r="E11" s="6" t="s">
        <v>447</v>
      </c>
    </row>
    <row r="12" customFormat="false" ht="45" hidden="false" customHeight="true" outlineLevel="0" collapsed="false">
      <c r="A12" s="4" t="s">
        <v>448</v>
      </c>
      <c r="B12" s="6" t="s">
        <v>331</v>
      </c>
      <c r="C12" s="6" t="s">
        <v>449</v>
      </c>
      <c r="D12" s="6" t="s">
        <v>450</v>
      </c>
      <c r="E12" s="6" t="s">
        <v>451</v>
      </c>
    </row>
    <row r="13" customFormat="false" ht="45" hidden="false" customHeight="true" outlineLevel="0" collapsed="false">
      <c r="A13" s="4" t="s">
        <v>318</v>
      </c>
      <c r="B13" s="6" t="s">
        <v>452</v>
      </c>
      <c r="C13" s="6" t="s">
        <v>453</v>
      </c>
      <c r="D13" s="6" t="s">
        <v>454</v>
      </c>
      <c r="E13" s="6" t="s">
        <v>455</v>
      </c>
    </row>
    <row r="14" customFormat="false" ht="45" hidden="false" customHeight="true" outlineLevel="0" collapsed="false">
      <c r="A14" s="4" t="s">
        <v>319</v>
      </c>
      <c r="B14" s="6" t="s">
        <v>456</v>
      </c>
      <c r="C14" s="6" t="s">
        <v>457</v>
      </c>
      <c r="D14" s="6" t="s">
        <v>458</v>
      </c>
      <c r="E14" s="6" t="s">
        <v>459</v>
      </c>
    </row>
    <row r="15" customFormat="false" ht="45" hidden="false" customHeight="true" outlineLevel="0" collapsed="false">
      <c r="A15" s="4" t="s">
        <v>320</v>
      </c>
      <c r="B15" s="6" t="s">
        <v>460</v>
      </c>
      <c r="C15" s="6" t="s">
        <v>461</v>
      </c>
      <c r="D15" s="6" t="s">
        <v>462</v>
      </c>
      <c r="E15" s="6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464</v>
      </c>
    </row>
    <row r="2" customFormat="false" ht="15" hidden="false" customHeight="false" outlineLevel="0" collapsed="false">
      <c r="A2" s="2" t="s">
        <v>465</v>
      </c>
    </row>
    <row r="4" customFormat="false" ht="15" hidden="false" customHeight="false" outlineLevel="0" collapsed="false">
      <c r="A4" s="3" t="s">
        <v>466</v>
      </c>
      <c r="B4" s="3" t="s">
        <v>467</v>
      </c>
      <c r="C4" s="3" t="s">
        <v>468</v>
      </c>
      <c r="D4" s="3" t="s">
        <v>469</v>
      </c>
      <c r="E4" s="3" t="s">
        <v>470</v>
      </c>
      <c r="F4" s="3" t="s">
        <v>471</v>
      </c>
      <c r="G4" s="3" t="s">
        <v>472</v>
      </c>
      <c r="H4" s="3" t="s">
        <v>473</v>
      </c>
    </row>
    <row r="5" customFormat="false" ht="23.85" hidden="false" customHeight="false" outlineLevel="0" collapsed="false">
      <c r="A5" s="4" t="s">
        <v>474</v>
      </c>
      <c r="B5" s="6" t="s">
        <v>475</v>
      </c>
      <c r="C5" s="6" t="s">
        <v>476</v>
      </c>
      <c r="D5" s="28" t="s">
        <v>477</v>
      </c>
      <c r="E5" s="28" t="s">
        <v>477</v>
      </c>
      <c r="F5" s="28" t="s">
        <v>478</v>
      </c>
      <c r="G5" s="6" t="s">
        <v>479</v>
      </c>
      <c r="H5" s="6" t="str">
        <f aca="false">IF(AND(D5="Alto",E5="Alto"),"Gestionar de cerca",IF(D5="Alto","Mantener satisfecho",IF(OR(E5="Alto",E5="Medio"),"Mantener informado","Monitorear")))</f>
        <v>Gestionar de cerca</v>
      </c>
    </row>
    <row r="6" customFormat="false" ht="15" hidden="false" customHeight="false" outlineLevel="0" collapsed="false">
      <c r="A6" s="4" t="s">
        <v>480</v>
      </c>
      <c r="B6" s="6" t="s">
        <v>475</v>
      </c>
      <c r="C6" s="6" t="s">
        <v>481</v>
      </c>
      <c r="D6" s="28" t="s">
        <v>477</v>
      </c>
      <c r="E6" s="28" t="s">
        <v>482</v>
      </c>
      <c r="F6" s="28" t="s">
        <v>483</v>
      </c>
      <c r="G6" s="6" t="s">
        <v>484</v>
      </c>
      <c r="H6" s="6" t="str">
        <f aca="false">IF(AND(D6="Alto",E6="Alto"),"Gestionar de cerca",IF(D6="Alto","Mantener satisfecho",IF(OR(E6="Alto",E6="Medio"),"Mantener informado","Monitorear")))</f>
        <v>Mantener satisfecho</v>
      </c>
    </row>
    <row r="7" customFormat="false" ht="15" hidden="false" customHeight="false" outlineLevel="0" collapsed="false">
      <c r="A7" s="4" t="s">
        <v>485</v>
      </c>
      <c r="B7" s="6" t="s">
        <v>475</v>
      </c>
      <c r="C7" s="6" t="s">
        <v>486</v>
      </c>
      <c r="D7" s="28" t="s">
        <v>477</v>
      </c>
      <c r="E7" s="28" t="s">
        <v>477</v>
      </c>
      <c r="F7" s="28" t="s">
        <v>483</v>
      </c>
      <c r="G7" s="6" t="s">
        <v>479</v>
      </c>
      <c r="H7" s="6" t="str">
        <f aca="false">IF(AND(D7="Alto",E7="Alto"),"Gestionar de cerca",IF(D7="Alto","Mantener satisfecho",IF(OR(E7="Alto",E7="Medio"),"Mantener informado","Monitorear")))</f>
        <v>Gestionar de cerca</v>
      </c>
    </row>
    <row r="8" customFormat="false" ht="15" hidden="false" customHeight="false" outlineLevel="0" collapsed="false">
      <c r="A8" s="4" t="s">
        <v>487</v>
      </c>
      <c r="B8" s="6" t="s">
        <v>475</v>
      </c>
      <c r="C8" s="6" t="s">
        <v>488</v>
      </c>
      <c r="D8" s="28" t="s">
        <v>482</v>
      </c>
      <c r="E8" s="28" t="s">
        <v>477</v>
      </c>
      <c r="F8" s="28" t="s">
        <v>478</v>
      </c>
      <c r="G8" s="6" t="s">
        <v>479</v>
      </c>
      <c r="H8" s="6" t="str">
        <f aca="false">IF(AND(D8="Alto",E8="Alto"),"Gestionar de cerca",IF(D8="Alto","Mantener satisfecho",IF(OR(E8="Alto",E8="Medio"),"Mantener informado","Monitorear")))</f>
        <v>Mantener informado</v>
      </c>
    </row>
    <row r="9" customFormat="false" ht="15" hidden="false" customHeight="false" outlineLevel="0" collapsed="false">
      <c r="A9" s="4" t="s">
        <v>489</v>
      </c>
      <c r="B9" s="6" t="s">
        <v>475</v>
      </c>
      <c r="C9" s="6" t="s">
        <v>490</v>
      </c>
      <c r="D9" s="28" t="s">
        <v>482</v>
      </c>
      <c r="E9" s="28" t="s">
        <v>477</v>
      </c>
      <c r="F9" s="28" t="s">
        <v>478</v>
      </c>
      <c r="G9" s="6" t="s">
        <v>479</v>
      </c>
      <c r="H9" s="6" t="str">
        <f aca="false">IF(AND(D9="Alto",E9="Alto"),"Gestionar de cerca",IF(D9="Alto","Mantener satisfecho",IF(OR(E9="Alto",E9="Medio"),"Mantener informado","Monitorear")))</f>
        <v>Mantener informado</v>
      </c>
    </row>
    <row r="10" customFormat="false" ht="23.85" hidden="false" customHeight="false" outlineLevel="0" collapsed="false">
      <c r="A10" s="4" t="s">
        <v>491</v>
      </c>
      <c r="B10" s="6" t="s">
        <v>475</v>
      </c>
      <c r="C10" s="6" t="s">
        <v>492</v>
      </c>
      <c r="D10" s="28" t="s">
        <v>477</v>
      </c>
      <c r="E10" s="28" t="s">
        <v>493</v>
      </c>
      <c r="F10" s="28" t="s">
        <v>483</v>
      </c>
      <c r="G10" s="6" t="s">
        <v>484</v>
      </c>
      <c r="H10" s="6" t="str">
        <f aca="false">IF(AND(D10="Alto",E10="Alto"),"Gestionar de cerca",IF(D10="Alto","Mantener satisfecho",IF(OR(E10="Alto",E10="Medio"),"Mantener informado","Monitorear")))</f>
        <v>Mantener satisfecho</v>
      </c>
    </row>
    <row r="11" customFormat="false" ht="23.85" hidden="false" customHeight="false" outlineLevel="0" collapsed="false">
      <c r="A11" s="4" t="s">
        <v>494</v>
      </c>
      <c r="B11" s="6" t="s">
        <v>475</v>
      </c>
      <c r="C11" s="6" t="s">
        <v>495</v>
      </c>
      <c r="D11" s="28" t="s">
        <v>482</v>
      </c>
      <c r="E11" s="28" t="s">
        <v>482</v>
      </c>
      <c r="F11" s="28" t="s">
        <v>496</v>
      </c>
      <c r="G11" s="6" t="s">
        <v>497</v>
      </c>
      <c r="H11" s="6" t="str">
        <f aca="false">IF(AND(D11="Alto",E11="Alto"),"Gestionar de cerca",IF(D11="Alto","Mantener satisfecho",IF(OR(E11="Alto",E11="Medio"),"Mantener informado","Monitorear")))</f>
        <v>Mantener informado</v>
      </c>
    </row>
    <row r="12" customFormat="false" ht="15" hidden="false" customHeight="false" outlineLevel="0" collapsed="false">
      <c r="A12" s="4" t="s">
        <v>498</v>
      </c>
      <c r="B12" s="6" t="s">
        <v>475</v>
      </c>
      <c r="C12" s="6" t="s">
        <v>499</v>
      </c>
      <c r="D12" s="28" t="s">
        <v>493</v>
      </c>
      <c r="E12" s="28" t="s">
        <v>477</v>
      </c>
      <c r="F12" s="28" t="s">
        <v>478</v>
      </c>
      <c r="G12" s="6" t="s">
        <v>500</v>
      </c>
      <c r="H12" s="6" t="str">
        <f aca="false">IF(AND(D12="Alto",E12="Alto"),"Gestionar de cerca",IF(D12="Alto","Mantener satisfecho",IF(OR(E12="Alto",E12="Medio"),"Mantener informado","Monitorear")))</f>
        <v>Mantener informado</v>
      </c>
    </row>
    <row r="13" customFormat="false" ht="23.85" hidden="false" customHeight="false" outlineLevel="0" collapsed="false">
      <c r="A13" s="4" t="s">
        <v>501</v>
      </c>
      <c r="B13" s="6" t="s">
        <v>475</v>
      </c>
      <c r="C13" s="6" t="s">
        <v>502</v>
      </c>
      <c r="D13" s="28" t="s">
        <v>493</v>
      </c>
      <c r="E13" s="28" t="s">
        <v>477</v>
      </c>
      <c r="F13" s="28" t="s">
        <v>503</v>
      </c>
      <c r="G13" s="6" t="s">
        <v>500</v>
      </c>
      <c r="H13" s="6" t="str">
        <f aca="false">IF(AND(D13="Alto",E13="Alto"),"Gestionar de cerca",IF(D13="Alto","Mantener satisfecho",IF(OR(E13="Alto",E13="Medio"),"Mantener informado","Monitorear")))</f>
        <v>Mantener informado</v>
      </c>
    </row>
    <row r="14" customFormat="false" ht="15" hidden="false" customHeight="false" outlineLevel="0" collapsed="false">
      <c r="A14" s="4" t="s">
        <v>504</v>
      </c>
      <c r="B14" s="6" t="s">
        <v>505</v>
      </c>
      <c r="C14" s="6" t="s">
        <v>506</v>
      </c>
      <c r="D14" s="28" t="s">
        <v>482</v>
      </c>
      <c r="E14" s="28" t="s">
        <v>482</v>
      </c>
      <c r="F14" s="28" t="s">
        <v>478</v>
      </c>
      <c r="G14" s="6" t="s">
        <v>500</v>
      </c>
      <c r="H14" s="6" t="str">
        <f aca="false">IF(AND(D14="Alto",E14="Alto"),"Gestionar de cerca",IF(D14="Alto","Mantener satisfecho",IF(OR(E14="Alto",E14="Medio"),"Mantener informado","Monitorear")))</f>
        <v>Mantener informado</v>
      </c>
    </row>
    <row r="15" customFormat="false" ht="15" hidden="false" customHeight="false" outlineLevel="0" collapsed="false">
      <c r="A15" s="4" t="s">
        <v>507</v>
      </c>
      <c r="B15" s="6" t="s">
        <v>505</v>
      </c>
      <c r="C15" s="6" t="s">
        <v>508</v>
      </c>
      <c r="D15" s="28" t="s">
        <v>493</v>
      </c>
      <c r="E15" s="28" t="s">
        <v>482</v>
      </c>
      <c r="F15" s="28" t="s">
        <v>478</v>
      </c>
      <c r="G15" s="6" t="s">
        <v>509</v>
      </c>
      <c r="H15" s="6" t="str">
        <f aca="false">IF(AND(D15="Alto",E15="Alto"),"Gestionar de cerca",IF(D15="Alto","Mantener satisfecho",IF(OR(E15="Alto",E15="Medio"),"Mantener informado","Monitorear")))</f>
        <v>Mantener informado</v>
      </c>
    </row>
    <row r="17" customFormat="false" ht="53.7" hidden="false" customHeight="false" outlineLevel="0" collapsed="false">
      <c r="A17" s="25" t="s">
        <v>510</v>
      </c>
    </row>
  </sheetData>
  <dataValidations count="1">
    <dataValidation allowBlank="false" errorStyle="stop" operator="between" showDropDown="false" showErrorMessage="false" showInputMessage="false" sqref="D5:E15" type="list">
      <formula1>"Alto,Medio,Bajo"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511</v>
      </c>
    </row>
    <row r="2" customFormat="false" ht="15" hidden="false" customHeight="false" outlineLevel="0" collapsed="false">
      <c r="A2" s="2" t="s">
        <v>512</v>
      </c>
    </row>
    <row r="4" customFormat="false" ht="15" hidden="false" customHeight="false" outlineLevel="0" collapsed="false">
      <c r="A4" s="3" t="s">
        <v>32</v>
      </c>
      <c r="B4" s="3" t="s">
        <v>513</v>
      </c>
      <c r="C4" s="3" t="s">
        <v>514</v>
      </c>
      <c r="D4" s="3" t="s">
        <v>515</v>
      </c>
      <c r="E4" s="3" t="s">
        <v>516</v>
      </c>
      <c r="F4" s="3" t="s">
        <v>517</v>
      </c>
      <c r="G4" s="3" t="s">
        <v>518</v>
      </c>
      <c r="H4" s="3" t="s">
        <v>519</v>
      </c>
    </row>
    <row r="5" customFormat="false" ht="23.85" hidden="false" customHeight="false" outlineLevel="0" collapsed="false">
      <c r="A5" s="4" t="s">
        <v>52</v>
      </c>
      <c r="B5" s="4" t="s">
        <v>520</v>
      </c>
      <c r="C5" s="6" t="s">
        <v>521</v>
      </c>
      <c r="D5" s="6" t="s">
        <v>522</v>
      </c>
      <c r="E5" s="6" t="s">
        <v>523</v>
      </c>
      <c r="F5" s="6" t="s">
        <v>524</v>
      </c>
      <c r="G5" s="6" t="s">
        <v>525</v>
      </c>
      <c r="H5" s="6" t="s">
        <v>526</v>
      </c>
    </row>
    <row r="6" customFormat="false" ht="23.85" hidden="false" customHeight="false" outlineLevel="0" collapsed="false">
      <c r="A6" s="4" t="s">
        <v>59</v>
      </c>
      <c r="B6" s="4" t="s">
        <v>527</v>
      </c>
      <c r="C6" s="6" t="s">
        <v>528</v>
      </c>
      <c r="D6" s="6" t="s">
        <v>529</v>
      </c>
      <c r="E6" s="6" t="s">
        <v>523</v>
      </c>
      <c r="F6" s="6" t="s">
        <v>530</v>
      </c>
      <c r="G6" s="6" t="s">
        <v>165</v>
      </c>
      <c r="H6" s="6" t="s">
        <v>531</v>
      </c>
    </row>
    <row r="7" customFormat="false" ht="15" hidden="false" customHeight="false" outlineLevel="0" collapsed="false">
      <c r="A7" s="4" t="s">
        <v>65</v>
      </c>
      <c r="B7" s="4" t="s">
        <v>532</v>
      </c>
      <c r="C7" s="6" t="s">
        <v>533</v>
      </c>
      <c r="D7" s="6" t="s">
        <v>534</v>
      </c>
      <c r="E7" s="6" t="s">
        <v>535</v>
      </c>
      <c r="F7" s="6" t="s">
        <v>536</v>
      </c>
      <c r="G7" s="6" t="s">
        <v>165</v>
      </c>
      <c r="H7" s="6" t="s">
        <v>537</v>
      </c>
    </row>
    <row r="8" customFormat="false" ht="23.85" hidden="false" customHeight="false" outlineLevel="0" collapsed="false">
      <c r="A8" s="4" t="s">
        <v>72</v>
      </c>
      <c r="B8" s="4" t="s">
        <v>538</v>
      </c>
      <c r="C8" s="6" t="s">
        <v>539</v>
      </c>
      <c r="D8" s="6" t="s">
        <v>540</v>
      </c>
      <c r="E8" s="6" t="s">
        <v>535</v>
      </c>
      <c r="F8" s="6" t="s">
        <v>541</v>
      </c>
      <c r="G8" s="6" t="s">
        <v>542</v>
      </c>
      <c r="H8" s="6" t="s">
        <v>543</v>
      </c>
    </row>
    <row r="9" customFormat="false" ht="23.85" hidden="false" customHeight="false" outlineLevel="0" collapsed="false">
      <c r="A9" s="4" t="s">
        <v>78</v>
      </c>
      <c r="B9" s="4" t="s">
        <v>544</v>
      </c>
      <c r="C9" s="6" t="s">
        <v>545</v>
      </c>
      <c r="D9" s="6" t="s">
        <v>546</v>
      </c>
      <c r="E9" s="6" t="s">
        <v>523</v>
      </c>
      <c r="F9" s="6" t="s">
        <v>547</v>
      </c>
      <c r="G9" s="6" t="s">
        <v>525</v>
      </c>
      <c r="H9" s="6" t="s">
        <v>548</v>
      </c>
    </row>
    <row r="10" customFormat="false" ht="15" hidden="false" customHeight="false" outlineLevel="0" collapsed="false">
      <c r="A10" s="4" t="s">
        <v>84</v>
      </c>
      <c r="B10" s="4" t="s">
        <v>549</v>
      </c>
      <c r="C10" s="6" t="s">
        <v>550</v>
      </c>
      <c r="D10" s="6" t="s">
        <v>551</v>
      </c>
      <c r="E10" s="6" t="s">
        <v>552</v>
      </c>
      <c r="F10" s="6" t="s">
        <v>553</v>
      </c>
      <c r="G10" s="6" t="s">
        <v>525</v>
      </c>
      <c r="H10" s="6" t="s">
        <v>554</v>
      </c>
    </row>
    <row r="11" customFormat="false" ht="23.85" hidden="false" customHeight="false" outlineLevel="0" collapsed="false">
      <c r="A11" s="4" t="s">
        <v>91</v>
      </c>
      <c r="B11" s="4" t="s">
        <v>555</v>
      </c>
      <c r="C11" s="6" t="s">
        <v>556</v>
      </c>
      <c r="D11" s="6" t="s">
        <v>557</v>
      </c>
      <c r="E11" s="6" t="s">
        <v>552</v>
      </c>
      <c r="F11" s="6" t="s">
        <v>558</v>
      </c>
      <c r="G11" s="6" t="s">
        <v>165</v>
      </c>
      <c r="H11" s="6" t="s">
        <v>559</v>
      </c>
    </row>
    <row r="12" customFormat="false" ht="23.85" hidden="false" customHeight="false" outlineLevel="0" collapsed="false">
      <c r="A12" s="4" t="s">
        <v>97</v>
      </c>
      <c r="B12" s="4" t="s">
        <v>560</v>
      </c>
      <c r="C12" s="6" t="s">
        <v>561</v>
      </c>
      <c r="D12" s="6" t="s">
        <v>562</v>
      </c>
      <c r="E12" s="6" t="s">
        <v>563</v>
      </c>
      <c r="F12" s="6" t="s">
        <v>564</v>
      </c>
      <c r="G12" s="6" t="s">
        <v>165</v>
      </c>
      <c r="H12" s="6" t="s">
        <v>565</v>
      </c>
    </row>
    <row r="13" customFormat="false" ht="15" hidden="false" customHeight="false" outlineLevel="0" collapsed="false">
      <c r="A13" s="4" t="s">
        <v>103</v>
      </c>
      <c r="B13" s="4" t="s">
        <v>566</v>
      </c>
      <c r="C13" s="6" t="s">
        <v>244</v>
      </c>
      <c r="D13" s="6" t="s">
        <v>567</v>
      </c>
      <c r="E13" s="6" t="s">
        <v>523</v>
      </c>
      <c r="F13" s="6" t="s">
        <v>568</v>
      </c>
      <c r="G13" s="6" t="s">
        <v>165</v>
      </c>
      <c r="H13" s="6" t="s">
        <v>569</v>
      </c>
    </row>
    <row r="14" customFormat="false" ht="23.85" hidden="false" customHeight="false" outlineLevel="0" collapsed="false">
      <c r="A14" s="4" t="s">
        <v>109</v>
      </c>
      <c r="B14" s="4" t="s">
        <v>570</v>
      </c>
      <c r="C14" s="6" t="s">
        <v>571</v>
      </c>
      <c r="D14" s="6" t="s">
        <v>572</v>
      </c>
      <c r="E14" s="6" t="s">
        <v>573</v>
      </c>
      <c r="F14" s="6" t="s">
        <v>574</v>
      </c>
      <c r="G14" s="6" t="s">
        <v>575</v>
      </c>
      <c r="H14" s="6" t="s">
        <v>576</v>
      </c>
    </row>
    <row r="15" customFormat="false" ht="23.85" hidden="false" customHeight="false" outlineLevel="0" collapsed="false">
      <c r="A15" s="4" t="s">
        <v>115</v>
      </c>
      <c r="B15" s="4" t="s">
        <v>577</v>
      </c>
      <c r="C15" s="6" t="s">
        <v>578</v>
      </c>
      <c r="D15" s="6" t="s">
        <v>579</v>
      </c>
      <c r="E15" s="6" t="s">
        <v>523</v>
      </c>
      <c r="F15" s="6" t="s">
        <v>580</v>
      </c>
      <c r="G15" s="6" t="s">
        <v>165</v>
      </c>
      <c r="H15" s="6" t="s">
        <v>581</v>
      </c>
    </row>
    <row r="16" customFormat="false" ht="23.85" hidden="false" customHeight="false" outlineLevel="0" collapsed="false">
      <c r="A16" s="4" t="s">
        <v>582</v>
      </c>
      <c r="B16" s="4" t="s">
        <v>583</v>
      </c>
      <c r="C16" s="6" t="s">
        <v>584</v>
      </c>
      <c r="D16" s="6" t="s">
        <v>585</v>
      </c>
      <c r="E16" s="6" t="s">
        <v>586</v>
      </c>
      <c r="F16" s="6" t="s">
        <v>587</v>
      </c>
      <c r="G16" s="6" t="s">
        <v>318</v>
      </c>
      <c r="H16" s="6" t="s">
        <v>588</v>
      </c>
    </row>
    <row r="17" customFormat="false" ht="23.85" hidden="false" customHeight="false" outlineLevel="0" collapsed="false">
      <c r="A17" s="4" t="s">
        <v>589</v>
      </c>
      <c r="B17" s="4" t="s">
        <v>590</v>
      </c>
      <c r="C17" s="6" t="s">
        <v>494</v>
      </c>
      <c r="D17" s="6" t="s">
        <v>591</v>
      </c>
      <c r="E17" s="6" t="s">
        <v>523</v>
      </c>
      <c r="F17" s="6" t="s">
        <v>592</v>
      </c>
      <c r="G17" s="6" t="s">
        <v>593</v>
      </c>
      <c r="H17" s="6" t="s">
        <v>594</v>
      </c>
    </row>
    <row r="18" customFormat="false" ht="15" hidden="false" customHeight="false" outlineLevel="0" collapsed="false">
      <c r="A18" s="4" t="s">
        <v>595</v>
      </c>
      <c r="B18" s="4" t="s">
        <v>596</v>
      </c>
      <c r="C18" s="6" t="s">
        <v>498</v>
      </c>
      <c r="D18" s="6" t="s">
        <v>597</v>
      </c>
      <c r="E18" s="6" t="s">
        <v>598</v>
      </c>
      <c r="F18" s="6" t="s">
        <v>599</v>
      </c>
      <c r="G18" s="6" t="s">
        <v>317</v>
      </c>
      <c r="H18" s="6" t="s">
        <v>600</v>
      </c>
    </row>
    <row r="19" customFormat="false" ht="23.85" hidden="false" customHeight="false" outlineLevel="0" collapsed="false">
      <c r="A19" s="4" t="s">
        <v>601</v>
      </c>
      <c r="B19" s="4" t="s">
        <v>602</v>
      </c>
      <c r="C19" s="6" t="s">
        <v>603</v>
      </c>
      <c r="D19" s="6" t="s">
        <v>604</v>
      </c>
      <c r="E19" s="6" t="s">
        <v>563</v>
      </c>
      <c r="F19" s="6" t="s">
        <v>605</v>
      </c>
      <c r="G19" s="6" t="s">
        <v>593</v>
      </c>
      <c r="H19" s="6" t="s">
        <v>606</v>
      </c>
    </row>
    <row r="20" customFormat="false" ht="23.85" hidden="false" customHeight="false" outlineLevel="0" collapsed="false">
      <c r="A20" s="4" t="s">
        <v>607</v>
      </c>
      <c r="B20" s="4" t="s">
        <v>608</v>
      </c>
      <c r="C20" s="6" t="s">
        <v>609</v>
      </c>
      <c r="D20" s="6" t="s">
        <v>610</v>
      </c>
      <c r="E20" s="6" t="s">
        <v>535</v>
      </c>
      <c r="F20" s="6" t="s">
        <v>611</v>
      </c>
      <c r="G20" s="6" t="s">
        <v>165</v>
      </c>
      <c r="H20" s="6" t="s">
        <v>612</v>
      </c>
    </row>
    <row r="21" customFormat="false" ht="23.85" hidden="false" customHeight="false" outlineLevel="0" collapsed="false">
      <c r="A21" s="4" t="s">
        <v>613</v>
      </c>
      <c r="B21" s="4" t="s">
        <v>355</v>
      </c>
      <c r="C21" s="6" t="s">
        <v>614</v>
      </c>
      <c r="D21" s="6" t="s">
        <v>615</v>
      </c>
      <c r="E21" s="6" t="s">
        <v>523</v>
      </c>
      <c r="F21" s="6" t="s">
        <v>616</v>
      </c>
      <c r="G21" s="6" t="s">
        <v>165</v>
      </c>
      <c r="H21" s="6" t="s">
        <v>569</v>
      </c>
    </row>
    <row r="23" customFormat="false" ht="15" hidden="false" customHeight="false" outlineLevel="0" collapsed="false">
      <c r="A23" s="8" t="s">
        <v>617</v>
      </c>
    </row>
    <row r="24" customFormat="false" ht="15" hidden="false" customHeight="false" outlineLevel="0" collapsed="false">
      <c r="A24" s="3" t="s">
        <v>618</v>
      </c>
      <c r="B24" s="3" t="s">
        <v>619</v>
      </c>
      <c r="C24" s="3" t="s">
        <v>283</v>
      </c>
      <c r="D24" s="3" t="s">
        <v>620</v>
      </c>
    </row>
    <row r="25" customFormat="false" ht="23.85" hidden="false" customHeight="false" outlineLevel="0" collapsed="false">
      <c r="A25" s="6" t="s">
        <v>621</v>
      </c>
      <c r="B25" s="6" t="s">
        <v>622</v>
      </c>
      <c r="C25" s="6" t="s">
        <v>623</v>
      </c>
      <c r="D25" s="6" t="s">
        <v>624</v>
      </c>
    </row>
    <row r="26" customFormat="false" ht="23.85" hidden="false" customHeight="false" outlineLevel="0" collapsed="false">
      <c r="A26" s="6" t="s">
        <v>625</v>
      </c>
      <c r="B26" s="6" t="s">
        <v>310</v>
      </c>
      <c r="C26" s="6" t="s">
        <v>626</v>
      </c>
      <c r="D26" s="6" t="s">
        <v>627</v>
      </c>
    </row>
    <row r="27" customFormat="false" ht="23.85" hidden="false" customHeight="false" outlineLevel="0" collapsed="false">
      <c r="A27" s="6" t="s">
        <v>628</v>
      </c>
      <c r="B27" s="6" t="s">
        <v>244</v>
      </c>
      <c r="C27" s="6" t="s">
        <v>629</v>
      </c>
      <c r="D27" s="6" t="s">
        <v>630</v>
      </c>
    </row>
    <row r="28" customFormat="false" ht="35.05" hidden="false" customHeight="false" outlineLevel="0" collapsed="false">
      <c r="A28" s="6" t="s">
        <v>631</v>
      </c>
      <c r="B28" s="6" t="s">
        <v>571</v>
      </c>
      <c r="C28" s="6" t="s">
        <v>632</v>
      </c>
      <c r="D28" s="6" t="s">
        <v>633</v>
      </c>
    </row>
    <row r="30" customFormat="false" ht="15" hidden="false" customHeight="false" outlineLevel="0" collapsed="false">
      <c r="A30" s="8" t="s">
        <v>634</v>
      </c>
    </row>
    <row r="31" customFormat="false" ht="15" hidden="false" customHeight="false" outlineLevel="0" collapsed="false">
      <c r="A31" s="22" t="s">
        <v>635</v>
      </c>
      <c r="B31" s="22"/>
      <c r="C31" s="22"/>
      <c r="D31" s="22"/>
    </row>
    <row r="32" customFormat="false" ht="15" hidden="false" customHeight="true" outlineLevel="0" collapsed="false">
      <c r="A32" s="27" t="s">
        <v>636</v>
      </c>
      <c r="B32" s="6" t="s">
        <v>637</v>
      </c>
      <c r="C32" s="6"/>
      <c r="D32" s="6"/>
    </row>
    <row r="33" customFormat="false" ht="15" hidden="false" customHeight="true" outlineLevel="0" collapsed="false">
      <c r="A33" s="27" t="s">
        <v>638</v>
      </c>
      <c r="B33" s="6" t="s">
        <v>639</v>
      </c>
      <c r="C33" s="6"/>
      <c r="D33" s="6"/>
    </row>
    <row r="34" customFormat="false" ht="15" hidden="false" customHeight="true" outlineLevel="0" collapsed="false">
      <c r="A34" s="27" t="s">
        <v>638</v>
      </c>
      <c r="B34" s="6" t="s">
        <v>640</v>
      </c>
      <c r="C34" s="6"/>
      <c r="D34" s="6"/>
    </row>
    <row r="35" customFormat="false" ht="15" hidden="false" customHeight="true" outlineLevel="0" collapsed="false">
      <c r="A35" s="27" t="s">
        <v>638</v>
      </c>
      <c r="B35" s="6" t="s">
        <v>641</v>
      </c>
      <c r="C35" s="6"/>
      <c r="D35" s="6"/>
    </row>
    <row r="36" customFormat="false" ht="15" hidden="false" customHeight="true" outlineLevel="0" collapsed="false">
      <c r="A36" s="27" t="s">
        <v>636</v>
      </c>
      <c r="B36" s="6" t="s">
        <v>642</v>
      </c>
      <c r="C36" s="6"/>
      <c r="D36" s="6"/>
    </row>
    <row r="37" customFormat="false" ht="15" hidden="false" customHeight="true" outlineLevel="0" collapsed="false">
      <c r="A37" s="27" t="s">
        <v>636</v>
      </c>
      <c r="B37" s="6" t="s">
        <v>643</v>
      </c>
      <c r="C37" s="6"/>
      <c r="D37" s="6"/>
    </row>
    <row r="38" customFormat="false" ht="15" hidden="false" customHeight="false" outlineLevel="0" collapsed="false">
      <c r="A38" s="14" t="s">
        <v>209</v>
      </c>
      <c r="B38" s="4" t="s">
        <v>644</v>
      </c>
    </row>
    <row r="40" customFormat="false" ht="15" hidden="false" customHeight="false" outlineLevel="0" collapsed="false">
      <c r="A40" s="22" t="s">
        <v>645</v>
      </c>
      <c r="B40" s="22"/>
      <c r="C40" s="22"/>
      <c r="D40" s="22"/>
    </row>
    <row r="41" customFormat="false" ht="15" hidden="false" customHeight="true" outlineLevel="0" collapsed="false">
      <c r="A41" s="27" t="s">
        <v>638</v>
      </c>
      <c r="B41" s="6" t="s">
        <v>646</v>
      </c>
      <c r="C41" s="6"/>
      <c r="D41" s="6"/>
    </row>
    <row r="42" customFormat="false" ht="15" hidden="false" customHeight="true" outlineLevel="0" collapsed="false">
      <c r="A42" s="27" t="s">
        <v>647</v>
      </c>
      <c r="B42" s="6" t="s">
        <v>648</v>
      </c>
      <c r="C42" s="6"/>
      <c r="D42" s="6"/>
    </row>
    <row r="43" customFormat="false" ht="15" hidden="false" customHeight="true" outlineLevel="0" collapsed="false">
      <c r="A43" s="27" t="s">
        <v>649</v>
      </c>
      <c r="B43" s="6" t="s">
        <v>650</v>
      </c>
      <c r="C43" s="6"/>
      <c r="D43" s="6"/>
    </row>
    <row r="44" customFormat="false" ht="15" hidden="false" customHeight="false" outlineLevel="0" collapsed="false">
      <c r="A44" s="14" t="s">
        <v>209</v>
      </c>
      <c r="B44" s="4" t="s">
        <v>651</v>
      </c>
    </row>
    <row r="46" customFormat="false" ht="15" hidden="false" customHeight="false" outlineLevel="0" collapsed="false">
      <c r="A46" s="22" t="s">
        <v>652</v>
      </c>
      <c r="B46" s="22"/>
      <c r="C46" s="22"/>
      <c r="D46" s="22"/>
    </row>
    <row r="47" customFormat="false" ht="15" hidden="false" customHeight="true" outlineLevel="0" collapsed="false">
      <c r="A47" s="27" t="s">
        <v>638</v>
      </c>
      <c r="B47" s="6" t="s">
        <v>653</v>
      </c>
      <c r="C47" s="6"/>
      <c r="D47" s="6"/>
    </row>
    <row r="48" customFormat="false" ht="15" hidden="false" customHeight="true" outlineLevel="0" collapsed="false">
      <c r="A48" s="27" t="s">
        <v>654</v>
      </c>
      <c r="B48" s="6" t="s">
        <v>655</v>
      </c>
      <c r="C48" s="6"/>
      <c r="D48" s="6"/>
    </row>
    <row r="49" customFormat="false" ht="15" hidden="false" customHeight="true" outlineLevel="0" collapsed="false">
      <c r="A49" s="27" t="s">
        <v>651</v>
      </c>
      <c r="B49" s="6" t="s">
        <v>656</v>
      </c>
      <c r="C49" s="6"/>
      <c r="D49" s="6"/>
    </row>
    <row r="50" customFormat="false" ht="15" hidden="false" customHeight="true" outlineLevel="0" collapsed="false">
      <c r="A50" s="27" t="s">
        <v>638</v>
      </c>
      <c r="B50" s="6" t="s">
        <v>657</v>
      </c>
      <c r="C50" s="6"/>
      <c r="D50" s="6"/>
    </row>
    <row r="51" customFormat="false" ht="15" hidden="false" customHeight="true" outlineLevel="0" collapsed="false">
      <c r="A51" s="27" t="s">
        <v>636</v>
      </c>
      <c r="B51" s="6" t="s">
        <v>658</v>
      </c>
      <c r="C51" s="6"/>
      <c r="D51" s="6"/>
    </row>
    <row r="52" customFormat="false" ht="15" hidden="false" customHeight="false" outlineLevel="0" collapsed="false">
      <c r="A52" s="14" t="s">
        <v>209</v>
      </c>
      <c r="B52" s="4" t="s">
        <v>659</v>
      </c>
    </row>
    <row r="54" customFormat="false" ht="15" hidden="false" customHeight="false" outlineLevel="0" collapsed="false">
      <c r="A54" s="22" t="s">
        <v>660</v>
      </c>
      <c r="B54" s="22"/>
      <c r="C54" s="22"/>
      <c r="D54" s="22"/>
    </row>
    <row r="55" customFormat="false" ht="15" hidden="false" customHeight="true" outlineLevel="0" collapsed="false">
      <c r="A55" s="27" t="s">
        <v>636</v>
      </c>
      <c r="B55" s="6" t="s">
        <v>661</v>
      </c>
      <c r="C55" s="6"/>
      <c r="D55" s="6"/>
    </row>
    <row r="56" customFormat="false" ht="15" hidden="false" customHeight="true" outlineLevel="0" collapsed="false">
      <c r="A56" s="27" t="s">
        <v>638</v>
      </c>
      <c r="B56" s="6" t="s">
        <v>662</v>
      </c>
      <c r="C56" s="6"/>
      <c r="D56" s="6"/>
    </row>
    <row r="57" customFormat="false" ht="15" hidden="false" customHeight="true" outlineLevel="0" collapsed="false">
      <c r="A57" s="27" t="s">
        <v>638</v>
      </c>
      <c r="B57" s="6" t="s">
        <v>663</v>
      </c>
      <c r="C57" s="6"/>
      <c r="D57" s="6"/>
    </row>
    <row r="58" customFormat="false" ht="15" hidden="false" customHeight="true" outlineLevel="0" collapsed="false">
      <c r="A58" s="27" t="s">
        <v>636</v>
      </c>
      <c r="B58" s="6" t="s">
        <v>664</v>
      </c>
      <c r="C58" s="6"/>
      <c r="D58" s="6"/>
    </row>
    <row r="59" customFormat="false" ht="15" hidden="false" customHeight="false" outlineLevel="0" collapsed="false">
      <c r="A59" s="14" t="s">
        <v>209</v>
      </c>
      <c r="B59" s="4" t="s">
        <v>665</v>
      </c>
    </row>
  </sheetData>
  <mergeCells count="22">
    <mergeCell ref="A31:D31"/>
    <mergeCell ref="B32:D32"/>
    <mergeCell ref="B33:D33"/>
    <mergeCell ref="B34:D34"/>
    <mergeCell ref="B35:D35"/>
    <mergeCell ref="B36:D36"/>
    <mergeCell ref="B37:D37"/>
    <mergeCell ref="A40:D40"/>
    <mergeCell ref="B41:D41"/>
    <mergeCell ref="B42:D42"/>
    <mergeCell ref="B43:D43"/>
    <mergeCell ref="A46:D46"/>
    <mergeCell ref="B47:D47"/>
    <mergeCell ref="B48:D48"/>
    <mergeCell ref="B49:D49"/>
    <mergeCell ref="B50:D50"/>
    <mergeCell ref="B51:D51"/>
    <mergeCell ref="A54:D54"/>
    <mergeCell ref="B55:D55"/>
    <mergeCell ref="B56:D56"/>
    <mergeCell ref="B57:D57"/>
    <mergeCell ref="B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666</v>
      </c>
    </row>
    <row r="2" customFormat="false" ht="15" hidden="false" customHeight="false" outlineLevel="0" collapsed="false">
      <c r="A2" s="2" t="s">
        <v>667</v>
      </c>
    </row>
    <row r="4" customFormat="false" ht="15" hidden="false" customHeight="false" outlineLevel="0" collapsed="false">
      <c r="A4" s="3" t="s">
        <v>668</v>
      </c>
      <c r="B4" s="3" t="s">
        <v>669</v>
      </c>
      <c r="C4" s="3"/>
      <c r="D4" s="3" t="s">
        <v>670</v>
      </c>
    </row>
    <row r="5" customFormat="false" ht="42" hidden="false" customHeight="true" outlineLevel="0" collapsed="false">
      <c r="A5" s="4" t="s">
        <v>671</v>
      </c>
      <c r="B5" s="6" t="s">
        <v>672</v>
      </c>
      <c r="D5" s="28" t="s">
        <v>673</v>
      </c>
    </row>
    <row r="6" customFormat="false" ht="42" hidden="false" customHeight="true" outlineLevel="0" collapsed="false">
      <c r="A6" s="4" t="s">
        <v>674</v>
      </c>
      <c r="B6" s="6" t="s">
        <v>675</v>
      </c>
      <c r="D6" s="28" t="s">
        <v>676</v>
      </c>
    </row>
    <row r="7" customFormat="false" ht="42" hidden="false" customHeight="true" outlineLevel="0" collapsed="false">
      <c r="A7" s="4" t="s">
        <v>677</v>
      </c>
      <c r="B7" s="6" t="s">
        <v>678</v>
      </c>
      <c r="D7" s="28" t="s">
        <v>679</v>
      </c>
    </row>
    <row r="8" customFormat="false" ht="42" hidden="false" customHeight="true" outlineLevel="0" collapsed="false">
      <c r="A8" s="4" t="s">
        <v>680</v>
      </c>
      <c r="B8" s="6" t="s">
        <v>681</v>
      </c>
      <c r="D8" s="28" t="s">
        <v>682</v>
      </c>
    </row>
    <row r="9" customFormat="false" ht="42" hidden="false" customHeight="true" outlineLevel="0" collapsed="false">
      <c r="A9" s="4" t="s">
        <v>683</v>
      </c>
      <c r="B9" s="6" t="s">
        <v>684</v>
      </c>
      <c r="D9" s="28" t="s">
        <v>685</v>
      </c>
    </row>
    <row r="10" customFormat="false" ht="42" hidden="false" customHeight="true" outlineLevel="0" collapsed="false">
      <c r="A10" s="4" t="s">
        <v>686</v>
      </c>
      <c r="B10" s="6" t="s">
        <v>687</v>
      </c>
      <c r="D10" s="28" t="s">
        <v>688</v>
      </c>
    </row>
    <row r="11" customFormat="false" ht="42" hidden="false" customHeight="true" outlineLevel="0" collapsed="false">
      <c r="A11" s="4" t="s">
        <v>689</v>
      </c>
      <c r="B11" s="6" t="s">
        <v>690</v>
      </c>
      <c r="D11" s="28" t="s">
        <v>691</v>
      </c>
    </row>
    <row r="12" customFormat="false" ht="42" hidden="false" customHeight="true" outlineLevel="0" collapsed="false">
      <c r="A12" s="4" t="s">
        <v>692</v>
      </c>
      <c r="B12" s="6" t="s">
        <v>693</v>
      </c>
      <c r="D12" s="28" t="s">
        <v>694</v>
      </c>
    </row>
    <row r="13" customFormat="false" ht="42" hidden="false" customHeight="true" outlineLevel="0" collapsed="false">
      <c r="A13" s="4" t="s">
        <v>695</v>
      </c>
      <c r="B13" s="6" t="s">
        <v>696</v>
      </c>
      <c r="D13" s="28" t="s">
        <v>697</v>
      </c>
    </row>
    <row r="15" customFormat="false" ht="15" hidden="false" customHeight="false" outlineLevel="0" collapsed="false">
      <c r="A15" s="3" t="s">
        <v>32</v>
      </c>
      <c r="B15" s="3" t="s">
        <v>698</v>
      </c>
      <c r="C15" s="3" t="s">
        <v>699</v>
      </c>
    </row>
    <row r="16" customFormat="false" ht="15" hidden="false" customHeight="false" outlineLevel="0" collapsed="false">
      <c r="A16" s="4" t="s">
        <v>700</v>
      </c>
      <c r="B16" s="6"/>
      <c r="C16" s="6"/>
    </row>
    <row r="17" customFormat="false" ht="15" hidden="false" customHeight="false" outlineLevel="0" collapsed="false">
      <c r="A17" s="4" t="s">
        <v>701</v>
      </c>
      <c r="B17" s="6"/>
      <c r="C17" s="6"/>
    </row>
    <row r="18" customFormat="false" ht="15" hidden="false" customHeight="false" outlineLevel="0" collapsed="false">
      <c r="A18" s="4" t="s">
        <v>702</v>
      </c>
      <c r="B18" s="6"/>
      <c r="C18" s="6"/>
    </row>
    <row r="20" customFormat="false" ht="15" hidden="false" customHeight="false" outlineLevel="0" collapsed="false">
      <c r="A20" s="3" t="s">
        <v>32</v>
      </c>
      <c r="B20" s="3" t="s">
        <v>703</v>
      </c>
      <c r="C20" s="3" t="s">
        <v>704</v>
      </c>
      <c r="D20" s="3" t="s">
        <v>705</v>
      </c>
      <c r="E20" s="3" t="s">
        <v>706</v>
      </c>
    </row>
    <row r="21" customFormat="false" ht="15" hidden="false" customHeight="false" outlineLevel="0" collapsed="false">
      <c r="A21" s="4" t="s">
        <v>707</v>
      </c>
      <c r="B21" s="6"/>
      <c r="C21" s="6"/>
      <c r="D21" s="6"/>
      <c r="E21" s="6"/>
    </row>
    <row r="22" customFormat="false" ht="15" hidden="false" customHeight="false" outlineLevel="0" collapsed="false">
      <c r="A22" s="4" t="s">
        <v>708</v>
      </c>
      <c r="B22" s="6"/>
      <c r="C22" s="6"/>
      <c r="D22" s="6"/>
      <c r="E22" s="6"/>
    </row>
    <row r="23" customFormat="false" ht="15" hidden="false" customHeight="false" outlineLevel="0" collapsed="false">
      <c r="A23" s="4" t="s">
        <v>709</v>
      </c>
      <c r="B23" s="6"/>
      <c r="C23" s="6"/>
      <c r="D23" s="6"/>
      <c r="E23" s="6"/>
    </row>
    <row r="24" customFormat="false" ht="15" hidden="false" customHeight="false" outlineLevel="0" collapsed="false">
      <c r="A24" s="4" t="s">
        <v>710</v>
      </c>
      <c r="B24" s="6"/>
      <c r="C24" s="6"/>
      <c r="D24" s="6"/>
      <c r="E24" s="6"/>
    </row>
    <row r="25" customFormat="false" ht="15" hidden="false" customHeight="false" outlineLevel="0" collapsed="false">
      <c r="A25" s="4" t="s">
        <v>711</v>
      </c>
      <c r="B25" s="6"/>
      <c r="C25" s="6"/>
      <c r="D25" s="6"/>
      <c r="E25" s="6"/>
    </row>
    <row r="26" customFormat="false" ht="15" hidden="false" customHeight="false" outlineLevel="0" collapsed="false">
      <c r="A26" s="4" t="s">
        <v>712</v>
      </c>
      <c r="B26" s="6"/>
      <c r="C26" s="6"/>
      <c r="D26" s="6"/>
      <c r="E26" s="6"/>
    </row>
  </sheetData>
  <dataValidations count="1">
    <dataValidation allowBlank="true" errorStyle="stop" operator="between" showDropDown="false" showErrorMessage="false" showInputMessage="false" sqref="E21:E26" type="list">
      <formula1>"Abierta,En curso,Cerrada"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713</v>
      </c>
    </row>
    <row r="2" customFormat="false" ht="15" hidden="false" customHeight="false" outlineLevel="0" collapsed="false">
      <c r="A2" s="2" t="s">
        <v>714</v>
      </c>
    </row>
    <row r="4" customFormat="false" ht="23.85" hidden="false" customHeight="false" outlineLevel="0" collapsed="false">
      <c r="A4" s="3" t="s">
        <v>32</v>
      </c>
      <c r="B4" s="3" t="s">
        <v>715</v>
      </c>
      <c r="C4" s="3" t="s">
        <v>716</v>
      </c>
      <c r="D4" s="3" t="s">
        <v>717</v>
      </c>
      <c r="E4" s="3" t="s">
        <v>718</v>
      </c>
      <c r="F4" s="3" t="s">
        <v>719</v>
      </c>
      <c r="G4" s="3" t="s">
        <v>720</v>
      </c>
      <c r="H4" s="3" t="s">
        <v>721</v>
      </c>
      <c r="I4" s="3" t="s">
        <v>722</v>
      </c>
      <c r="J4" s="3" t="s">
        <v>723</v>
      </c>
    </row>
    <row r="5" customFormat="false" ht="51.75" hidden="false" customHeight="true" outlineLevel="0" collapsed="false">
      <c r="A5" s="4" t="s">
        <v>724</v>
      </c>
      <c r="B5" s="6" t="s">
        <v>725</v>
      </c>
      <c r="C5" s="6" t="s">
        <v>726</v>
      </c>
      <c r="D5" s="4" t="s">
        <v>727</v>
      </c>
      <c r="E5" s="6" t="s">
        <v>728</v>
      </c>
      <c r="F5" s="6" t="s">
        <v>729</v>
      </c>
      <c r="G5" s="6" t="s">
        <v>730</v>
      </c>
      <c r="H5" s="28" t="s">
        <v>731</v>
      </c>
      <c r="I5" s="6" t="s">
        <v>732</v>
      </c>
      <c r="J5" s="6" t="s">
        <v>733</v>
      </c>
    </row>
    <row r="6" customFormat="false" ht="51.75" hidden="false" customHeight="true" outlineLevel="0" collapsed="false">
      <c r="A6" s="4" t="s">
        <v>734</v>
      </c>
      <c r="B6" s="6" t="s">
        <v>735</v>
      </c>
      <c r="C6" s="6" t="s">
        <v>736</v>
      </c>
      <c r="D6" s="4" t="s">
        <v>737</v>
      </c>
      <c r="E6" s="6" t="s">
        <v>738</v>
      </c>
      <c r="F6" s="6" t="s">
        <v>739</v>
      </c>
      <c r="G6" s="6" t="s">
        <v>740</v>
      </c>
      <c r="H6" s="28" t="s">
        <v>741</v>
      </c>
      <c r="I6" s="6" t="s">
        <v>318</v>
      </c>
      <c r="J6" s="6" t="s">
        <v>742</v>
      </c>
    </row>
    <row r="7" customFormat="false" ht="51.75" hidden="false" customHeight="true" outlineLevel="0" collapsed="false">
      <c r="A7" s="4" t="s">
        <v>743</v>
      </c>
      <c r="B7" s="6" t="s">
        <v>744</v>
      </c>
      <c r="C7" s="6" t="s">
        <v>745</v>
      </c>
      <c r="D7" s="4" t="s">
        <v>746</v>
      </c>
      <c r="E7" s="6" t="s">
        <v>747</v>
      </c>
      <c r="F7" s="6" t="s">
        <v>748</v>
      </c>
      <c r="G7" s="6" t="s">
        <v>749</v>
      </c>
      <c r="H7" s="28" t="s">
        <v>731</v>
      </c>
      <c r="I7" s="6" t="s">
        <v>320</v>
      </c>
      <c r="J7" s="6" t="s">
        <v>750</v>
      </c>
    </row>
    <row r="8" customFormat="false" ht="51.75" hidden="false" customHeight="true" outlineLevel="0" collapsed="false">
      <c r="A8" s="4" t="s">
        <v>751</v>
      </c>
      <c r="B8" s="6" t="s">
        <v>752</v>
      </c>
      <c r="C8" s="6" t="s">
        <v>753</v>
      </c>
      <c r="D8" s="4" t="s">
        <v>754</v>
      </c>
      <c r="E8" s="6" t="s">
        <v>755</v>
      </c>
      <c r="F8" s="6" t="s">
        <v>756</v>
      </c>
      <c r="G8" s="6" t="s">
        <v>407</v>
      </c>
      <c r="H8" s="28" t="s">
        <v>741</v>
      </c>
      <c r="I8" s="6" t="s">
        <v>757</v>
      </c>
      <c r="J8" s="6" t="s">
        <v>758</v>
      </c>
    </row>
    <row r="9" customFormat="false" ht="51.75" hidden="false" customHeight="true" outlineLevel="0" collapsed="false">
      <c r="A9" s="4" t="s">
        <v>759</v>
      </c>
      <c r="B9" s="6" t="s">
        <v>760</v>
      </c>
      <c r="C9" s="6" t="s">
        <v>761</v>
      </c>
      <c r="D9" s="4" t="s">
        <v>762</v>
      </c>
      <c r="E9" s="6" t="s">
        <v>763</v>
      </c>
      <c r="F9" s="6" t="s">
        <v>283</v>
      </c>
      <c r="G9" s="6" t="s">
        <v>764</v>
      </c>
      <c r="H9" s="28" t="s">
        <v>731</v>
      </c>
      <c r="I9" s="6" t="s">
        <v>244</v>
      </c>
      <c r="J9" s="6" t="s">
        <v>765</v>
      </c>
    </row>
    <row r="10" customFormat="false" ht="51.75" hidden="false" customHeight="true" outlineLevel="0" collapsed="false">
      <c r="A10" s="4" t="s">
        <v>766</v>
      </c>
      <c r="B10" s="6" t="s">
        <v>767</v>
      </c>
      <c r="C10" s="6" t="s">
        <v>768</v>
      </c>
      <c r="D10" s="4" t="s">
        <v>769</v>
      </c>
      <c r="E10" s="6" t="s">
        <v>770</v>
      </c>
      <c r="F10" s="6" t="s">
        <v>739</v>
      </c>
      <c r="G10" s="6" t="s">
        <v>771</v>
      </c>
      <c r="H10" s="28" t="s">
        <v>741</v>
      </c>
      <c r="I10" s="6" t="s">
        <v>525</v>
      </c>
      <c r="J10" s="6" t="s">
        <v>772</v>
      </c>
    </row>
    <row r="11" customFormat="false" ht="51.75" hidden="false" customHeight="true" outlineLevel="0" collapsed="false">
      <c r="A11" s="4" t="s">
        <v>773</v>
      </c>
      <c r="B11" s="6" t="s">
        <v>774</v>
      </c>
      <c r="C11" s="6" t="s">
        <v>775</v>
      </c>
      <c r="D11" s="4" t="s">
        <v>776</v>
      </c>
      <c r="E11" s="6" t="s">
        <v>777</v>
      </c>
      <c r="F11" s="6" t="s">
        <v>778</v>
      </c>
      <c r="G11" s="6" t="s">
        <v>398</v>
      </c>
      <c r="H11" s="28" t="s">
        <v>731</v>
      </c>
      <c r="I11" s="6" t="s">
        <v>525</v>
      </c>
      <c r="J11" s="6" t="s">
        <v>772</v>
      </c>
    </row>
    <row r="12" customFormat="false" ht="51.75" hidden="false" customHeight="true" outlineLevel="0" collapsed="false">
      <c r="A12" s="4" t="s">
        <v>779</v>
      </c>
      <c r="B12" s="6" t="s">
        <v>774</v>
      </c>
      <c r="C12" s="6" t="s">
        <v>780</v>
      </c>
      <c r="D12" s="4" t="s">
        <v>781</v>
      </c>
      <c r="E12" s="6" t="s">
        <v>782</v>
      </c>
      <c r="F12" s="6" t="s">
        <v>778</v>
      </c>
      <c r="G12" s="6" t="s">
        <v>783</v>
      </c>
      <c r="H12" s="28" t="s">
        <v>731</v>
      </c>
      <c r="I12" s="6" t="s">
        <v>784</v>
      </c>
      <c r="J12" s="6" t="s">
        <v>772</v>
      </c>
    </row>
    <row r="13" customFormat="false" ht="51.75" hidden="false" customHeight="true" outlineLevel="0" collapsed="false">
      <c r="A13" s="4" t="s">
        <v>785</v>
      </c>
      <c r="B13" s="6" t="s">
        <v>786</v>
      </c>
      <c r="C13" s="6" t="s">
        <v>787</v>
      </c>
      <c r="D13" s="4" t="s">
        <v>788</v>
      </c>
      <c r="E13" s="6" t="s">
        <v>789</v>
      </c>
      <c r="F13" s="6" t="s">
        <v>790</v>
      </c>
      <c r="G13" s="6" t="s">
        <v>791</v>
      </c>
      <c r="H13" s="28" t="s">
        <v>741</v>
      </c>
      <c r="I13" s="6" t="s">
        <v>792</v>
      </c>
      <c r="J13" s="6" t="s">
        <v>793</v>
      </c>
    </row>
    <row r="14" customFormat="false" ht="51.75" hidden="false" customHeight="true" outlineLevel="0" collapsed="false">
      <c r="A14" s="4" t="s">
        <v>794</v>
      </c>
      <c r="B14" s="6" t="s">
        <v>795</v>
      </c>
      <c r="C14" s="6" t="s">
        <v>796</v>
      </c>
      <c r="D14" s="4" t="s">
        <v>797</v>
      </c>
      <c r="E14" s="6" t="s">
        <v>798</v>
      </c>
      <c r="F14" s="6" t="s">
        <v>790</v>
      </c>
      <c r="G14" s="6" t="s">
        <v>799</v>
      </c>
      <c r="H14" s="28" t="s">
        <v>741</v>
      </c>
      <c r="I14" s="6" t="s">
        <v>316</v>
      </c>
      <c r="J14" s="6" t="s">
        <v>793</v>
      </c>
    </row>
    <row r="15" customFormat="false" ht="51.75" hidden="false" customHeight="true" outlineLevel="0" collapsed="false">
      <c r="A15" s="4" t="s">
        <v>800</v>
      </c>
      <c r="B15" s="6" t="s">
        <v>801</v>
      </c>
      <c r="C15" s="6" t="s">
        <v>802</v>
      </c>
      <c r="D15" s="4" t="s">
        <v>803</v>
      </c>
      <c r="E15" s="6" t="s">
        <v>804</v>
      </c>
      <c r="F15" s="6" t="s">
        <v>805</v>
      </c>
      <c r="G15" s="6" t="s">
        <v>806</v>
      </c>
      <c r="H15" s="28" t="s">
        <v>741</v>
      </c>
      <c r="I15" s="6" t="s">
        <v>807</v>
      </c>
      <c r="J15" s="6" t="s">
        <v>793</v>
      </c>
    </row>
    <row r="16" customFormat="false" ht="51.75" hidden="false" customHeight="true" outlineLevel="0" collapsed="false">
      <c r="A16" s="4" t="s">
        <v>808</v>
      </c>
      <c r="B16" s="6" t="s">
        <v>735</v>
      </c>
      <c r="C16" s="6" t="s">
        <v>809</v>
      </c>
      <c r="D16" s="4" t="s">
        <v>810</v>
      </c>
      <c r="E16" s="6" t="s">
        <v>811</v>
      </c>
      <c r="F16" s="6" t="s">
        <v>812</v>
      </c>
      <c r="G16" s="6" t="s">
        <v>813</v>
      </c>
      <c r="H16" s="28" t="s">
        <v>741</v>
      </c>
      <c r="I16" s="6" t="s">
        <v>814</v>
      </c>
      <c r="J16" s="6" t="s">
        <v>793</v>
      </c>
    </row>
    <row r="17" customFormat="false" ht="51.75" hidden="false" customHeight="true" outlineLevel="0" collapsed="false">
      <c r="A17" s="4" t="s">
        <v>815</v>
      </c>
      <c r="B17" s="6" t="s">
        <v>816</v>
      </c>
      <c r="C17" s="6" t="s">
        <v>817</v>
      </c>
      <c r="D17" s="4" t="s">
        <v>818</v>
      </c>
      <c r="E17" s="6" t="s">
        <v>819</v>
      </c>
      <c r="F17" s="6" t="s">
        <v>283</v>
      </c>
      <c r="G17" s="6" t="s">
        <v>820</v>
      </c>
      <c r="H17" s="28" t="s">
        <v>741</v>
      </c>
      <c r="I17" s="6" t="s">
        <v>165</v>
      </c>
      <c r="J17" s="6" t="s">
        <v>793</v>
      </c>
    </row>
    <row r="18" customFormat="false" ht="51.75" hidden="false" customHeight="true" outlineLevel="0" collapsed="false">
      <c r="A18" s="4" t="s">
        <v>821</v>
      </c>
      <c r="B18" s="6" t="s">
        <v>822</v>
      </c>
      <c r="C18" s="6" t="s">
        <v>823</v>
      </c>
      <c r="D18" s="4" t="s">
        <v>824</v>
      </c>
      <c r="E18" s="6" t="s">
        <v>825</v>
      </c>
      <c r="F18" s="6" t="s">
        <v>826</v>
      </c>
      <c r="G18" s="6" t="s">
        <v>827</v>
      </c>
      <c r="H18" s="28" t="s">
        <v>741</v>
      </c>
      <c r="I18" s="6" t="s">
        <v>828</v>
      </c>
      <c r="J18" s="6" t="s">
        <v>793</v>
      </c>
    </row>
    <row r="19" customFormat="false" ht="51.75" hidden="false" customHeight="true" outlineLevel="0" collapsed="false">
      <c r="A19" s="4" t="s">
        <v>829</v>
      </c>
      <c r="B19" s="6" t="s">
        <v>830</v>
      </c>
      <c r="C19" s="6" t="s">
        <v>831</v>
      </c>
      <c r="D19" s="4" t="s">
        <v>832</v>
      </c>
      <c r="E19" s="6" t="s">
        <v>833</v>
      </c>
      <c r="F19" s="6" t="s">
        <v>778</v>
      </c>
      <c r="G19" s="6" t="s">
        <v>834</v>
      </c>
      <c r="H19" s="28" t="s">
        <v>835</v>
      </c>
      <c r="I19" s="6" t="s">
        <v>525</v>
      </c>
      <c r="J19" s="6" t="s">
        <v>793</v>
      </c>
    </row>
    <row r="20" customFormat="false" ht="51.75" hidden="false" customHeight="true" outlineLevel="0" collapsed="false">
      <c r="A20" s="4" t="s">
        <v>836</v>
      </c>
      <c r="B20" s="6" t="s">
        <v>837</v>
      </c>
      <c r="C20" s="6" t="s">
        <v>838</v>
      </c>
      <c r="D20" s="4" t="s">
        <v>839</v>
      </c>
      <c r="E20" s="6" t="s">
        <v>840</v>
      </c>
      <c r="F20" s="6" t="s">
        <v>283</v>
      </c>
      <c r="G20" s="6" t="s">
        <v>841</v>
      </c>
      <c r="H20" s="28" t="s">
        <v>741</v>
      </c>
      <c r="I20" s="6" t="s">
        <v>165</v>
      </c>
      <c r="J20" s="6" t="s">
        <v>793</v>
      </c>
    </row>
    <row r="21" customFormat="false" ht="51.75" hidden="false" customHeight="true" outlineLevel="0" collapsed="false">
      <c r="A21" s="4" t="s">
        <v>842</v>
      </c>
      <c r="B21" s="6" t="s">
        <v>774</v>
      </c>
      <c r="C21" s="6" t="s">
        <v>843</v>
      </c>
      <c r="D21" s="4" t="s">
        <v>844</v>
      </c>
      <c r="E21" s="6" t="s">
        <v>845</v>
      </c>
      <c r="F21" s="6" t="s">
        <v>778</v>
      </c>
      <c r="G21" s="6" t="s">
        <v>846</v>
      </c>
      <c r="H21" s="28" t="s">
        <v>741</v>
      </c>
      <c r="I21" s="6" t="s">
        <v>847</v>
      </c>
      <c r="J21" s="6" t="s">
        <v>793</v>
      </c>
    </row>
    <row r="23" customFormat="false" ht="15" hidden="false" customHeight="false" outlineLevel="0" collapsed="false">
      <c r="A23" s="8" t="s">
        <v>848</v>
      </c>
    </row>
    <row r="24" customFormat="false" ht="23.85" hidden="false" customHeight="false" outlineLevel="0" collapsed="false">
      <c r="A24" s="3" t="s">
        <v>849</v>
      </c>
      <c r="B24" s="3" t="s">
        <v>850</v>
      </c>
    </row>
    <row r="25" customFormat="false" ht="15" hidden="false" customHeight="false" outlineLevel="0" collapsed="false">
      <c r="A25" s="4" t="s">
        <v>731</v>
      </c>
      <c r="B25" s="27" t="n">
        <f aca="false">COUNTIF($H$5:$H$21,"Alta")</f>
        <v>5</v>
      </c>
    </row>
    <row r="26" customFormat="false" ht="15" hidden="false" customHeight="false" outlineLevel="0" collapsed="false">
      <c r="A26" s="4" t="s">
        <v>741</v>
      </c>
      <c r="B26" s="27" t="n">
        <f aca="false">COUNTIF($H$5:$H$21,"Media")</f>
        <v>11</v>
      </c>
    </row>
    <row r="27" customFormat="false" ht="15" hidden="false" customHeight="false" outlineLevel="0" collapsed="false">
      <c r="A27" s="4" t="s">
        <v>835</v>
      </c>
      <c r="B27" s="27" t="n">
        <f aca="false">COUNTIF($H$5:$H$21,"Baja")</f>
        <v>1</v>
      </c>
    </row>
    <row r="28" customFormat="false" ht="15" hidden="false" customHeight="false" outlineLevel="0" collapsed="false">
      <c r="A28" s="4" t="s">
        <v>209</v>
      </c>
      <c r="B28" s="14" t="n">
        <f aca="false">SUM(B25:B27)</f>
        <v>17</v>
      </c>
    </row>
    <row r="29" customFormat="false" ht="15" hidden="false" customHeight="false" outlineLevel="0" collapsed="false">
      <c r="A29" s="4" t="s">
        <v>121</v>
      </c>
      <c r="B29" s="4" t="str">
        <f aca="false">IF(B28=COUNTA(A5:A21),"OK","REVISAR")</f>
        <v>OK</v>
      </c>
    </row>
  </sheetData>
  <conditionalFormatting sqref="H5:H21">
    <cfRule type="cellIs" priority="2" operator="equal" aboveAverage="0" equalAverage="0" bottom="0" percent="0" rank="0" text="" dxfId="4">
      <formula>"Alta"</formula>
    </cfRule>
  </conditionalFormatting>
  <dataValidations count="1">
    <dataValidation allowBlank="false" errorStyle="stop" operator="between" showDropDown="false" showErrorMessage="false" showInputMessage="false" sqref="H5:H21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2026-10-13T23:13:29Z</dcterms:created>
  <dc:creator>openpyxl</dc:creator>
  <dc:description/>
  <dc:language>en-US</dc:language>
  <cp:lastModifiedBy/>
  <dcterms:modified xsi:type="dcterms:W3CDTF">2026-10-13T23:13:29Z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